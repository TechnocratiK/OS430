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45" windowWidth="19155" windowHeight="1182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B4" i="1"/>
  <c r="G2"/>
  <c r="C8"/>
  <c r="E2"/>
  <c r="D2"/>
  <c r="A19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4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23"/>
  <c r="A9"/>
  <c r="A10" s="1"/>
  <c r="B3"/>
  <c r="A11" l="1"/>
  <c r="A12" l="1"/>
  <c r="A13" l="1"/>
  <c r="A14" l="1"/>
  <c r="A15" l="1"/>
  <c r="A16" l="1"/>
  <c r="A17" l="1"/>
  <c r="B11" l="1"/>
  <c r="B17"/>
  <c r="B10"/>
  <c r="B8"/>
  <c r="B12"/>
  <c r="B13"/>
  <c r="B16"/>
  <c r="B15"/>
  <c r="B14"/>
  <c r="B9"/>
  <c r="C9" s="1"/>
  <c r="D10" l="1"/>
  <c r="D12"/>
  <c r="D14"/>
  <c r="D16"/>
  <c r="D9"/>
  <c r="E9"/>
  <c r="E11"/>
  <c r="E13"/>
  <c r="E15"/>
  <c r="E17"/>
  <c r="D11"/>
  <c r="F11" s="1"/>
  <c r="D13"/>
  <c r="F13" s="1"/>
  <c r="D15"/>
  <c r="F15" s="1"/>
  <c r="D17"/>
  <c r="F17" s="1"/>
  <c r="D8"/>
  <c r="E10"/>
  <c r="E12"/>
  <c r="E14"/>
  <c r="E16"/>
  <c r="E8"/>
  <c r="C10"/>
  <c r="F9" l="1"/>
  <c r="F8"/>
  <c r="F14"/>
  <c r="F10"/>
  <c r="F16"/>
  <c r="F12"/>
  <c r="C11"/>
  <c r="F19" l="1"/>
  <c r="C12"/>
  <c r="C13" l="1"/>
  <c r="C14" l="1"/>
  <c r="C15" l="1"/>
  <c r="C16" l="1"/>
  <c r="C17" l="1"/>
  <c r="B22" l="1"/>
  <c r="B279" l="1"/>
  <c r="C105" l="1"/>
  <c r="C103"/>
  <c r="C61"/>
  <c r="C59"/>
  <c r="C113"/>
  <c r="C111"/>
  <c r="C69"/>
  <c r="C67"/>
  <c r="C121"/>
  <c r="C119"/>
  <c r="C77"/>
  <c r="C75"/>
  <c r="C129"/>
  <c r="C127"/>
  <c r="C85"/>
  <c r="C83"/>
  <c r="C137"/>
  <c r="C135"/>
  <c r="C93"/>
  <c r="C91"/>
  <c r="C145"/>
  <c r="C143"/>
  <c r="C101"/>
  <c r="C99"/>
  <c r="C153"/>
  <c r="C151"/>
  <c r="C109"/>
  <c r="C107"/>
  <c r="C161"/>
  <c r="C159"/>
  <c r="C117"/>
  <c r="C115"/>
  <c r="C169"/>
  <c r="C167"/>
  <c r="C125"/>
  <c r="C123"/>
  <c r="C177"/>
  <c r="C175"/>
  <c r="C133"/>
  <c r="C131"/>
  <c r="C185"/>
  <c r="C183"/>
  <c r="C141"/>
  <c r="C139"/>
  <c r="C193"/>
  <c r="C191"/>
  <c r="C149"/>
  <c r="C147"/>
  <c r="C201"/>
  <c r="C199"/>
  <c r="C157"/>
  <c r="C155"/>
  <c r="C209"/>
  <c r="C207"/>
  <c r="C165"/>
  <c r="C163"/>
  <c r="C217"/>
  <c r="C215"/>
  <c r="C173"/>
  <c r="C171"/>
  <c r="C225"/>
  <c r="C223"/>
  <c r="C181"/>
  <c r="C179"/>
  <c r="C233"/>
  <c r="C231"/>
  <c r="C189"/>
  <c r="C187"/>
  <c r="C241"/>
  <c r="C239"/>
  <c r="C197"/>
  <c r="C195"/>
  <c r="C249"/>
  <c r="C247"/>
  <c r="C205"/>
  <c r="C203"/>
  <c r="C257"/>
  <c r="C255"/>
  <c r="C213"/>
  <c r="C211"/>
  <c r="C265"/>
  <c r="C263"/>
  <c r="C221"/>
  <c r="C219"/>
  <c r="C273"/>
  <c r="C271"/>
  <c r="C229"/>
  <c r="C227"/>
  <c r="C26"/>
  <c r="C24"/>
  <c r="C237"/>
  <c r="C235"/>
  <c r="C34"/>
  <c r="C32"/>
  <c r="C245"/>
  <c r="C243"/>
  <c r="C42"/>
  <c r="C40"/>
  <c r="C253"/>
  <c r="C251"/>
  <c r="C50"/>
  <c r="C48"/>
  <c r="C261"/>
  <c r="C259"/>
  <c r="C58"/>
  <c r="C56"/>
  <c r="C269"/>
  <c r="C267"/>
  <c r="C66"/>
  <c r="C64"/>
  <c r="C277"/>
  <c r="C275"/>
  <c r="C74"/>
  <c r="C72"/>
  <c r="C30"/>
  <c r="C28"/>
  <c r="C82"/>
  <c r="C80"/>
  <c r="C38"/>
  <c r="C36"/>
  <c r="C90"/>
  <c r="C88"/>
  <c r="C46"/>
  <c r="C44"/>
  <c r="C98"/>
  <c r="C96"/>
  <c r="C54"/>
  <c r="C106"/>
  <c r="C104"/>
  <c r="C62"/>
  <c r="C60"/>
  <c r="C114"/>
  <c r="C112"/>
  <c r="C70"/>
  <c r="C68"/>
  <c r="C122"/>
  <c r="C120"/>
  <c r="C78"/>
  <c r="C76"/>
  <c r="C130"/>
  <c r="C128"/>
  <c r="C86"/>
  <c r="C84"/>
  <c r="C138"/>
  <c r="C136"/>
  <c r="C94"/>
  <c r="C92"/>
  <c r="C146"/>
  <c r="C144"/>
  <c r="C102"/>
  <c r="C100"/>
  <c r="C154"/>
  <c r="C152"/>
  <c r="C110"/>
  <c r="C108"/>
  <c r="C162"/>
  <c r="C160"/>
  <c r="C118"/>
  <c r="C116"/>
  <c r="C170"/>
  <c r="C168"/>
  <c r="C126"/>
  <c r="C124"/>
  <c r="C178"/>
  <c r="C176"/>
  <c r="C134"/>
  <c r="C132"/>
  <c r="C186"/>
  <c r="C184"/>
  <c r="C142"/>
  <c r="C140"/>
  <c r="C194"/>
  <c r="C192"/>
  <c r="C150"/>
  <c r="C148"/>
  <c r="C202"/>
  <c r="C200"/>
  <c r="C158"/>
  <c r="C156"/>
  <c r="C210"/>
  <c r="C208"/>
  <c r="C166"/>
  <c r="C164"/>
  <c r="C218"/>
  <c r="C216"/>
  <c r="C174"/>
  <c r="C172"/>
  <c r="C226"/>
  <c r="C224"/>
  <c r="C182"/>
  <c r="C188"/>
  <c r="C234"/>
  <c r="C232"/>
  <c r="C190"/>
  <c r="C196"/>
  <c r="C242"/>
  <c r="C240"/>
  <c r="C198"/>
  <c r="C212"/>
  <c r="C250"/>
  <c r="C248"/>
  <c r="C206"/>
  <c r="C228"/>
  <c r="C258"/>
  <c r="C256"/>
  <c r="C214"/>
  <c r="C244"/>
  <c r="C266"/>
  <c r="C264"/>
  <c r="C222"/>
  <c r="C260"/>
  <c r="C274"/>
  <c r="C272"/>
  <c r="C230"/>
  <c r="C25"/>
  <c r="C23"/>
  <c r="C180"/>
  <c r="C238"/>
  <c r="C33"/>
  <c r="C31"/>
  <c r="C204"/>
  <c r="C246"/>
  <c r="C41"/>
  <c r="C39"/>
  <c r="C220"/>
  <c r="C254"/>
  <c r="C49"/>
  <c r="C47"/>
  <c r="C236"/>
  <c r="C262"/>
  <c r="C57"/>
  <c r="C55"/>
  <c r="C252"/>
  <c r="C270"/>
  <c r="C65"/>
  <c r="C63"/>
  <c r="C268"/>
  <c r="C276"/>
  <c r="C73"/>
  <c r="C71"/>
  <c r="C29"/>
  <c r="C27"/>
  <c r="C81"/>
  <c r="C79"/>
  <c r="C37"/>
  <c r="C35"/>
  <c r="C89"/>
  <c r="C87"/>
  <c r="C45"/>
  <c r="C43"/>
  <c r="C97"/>
  <c r="C95"/>
  <c r="C53"/>
  <c r="C51"/>
  <c r="C52"/>
  <c r="C22"/>
  <c r="F3" l="1"/>
  <c r="F2"/>
</calcChain>
</file>

<file path=xl/sharedStrings.xml><?xml version="1.0" encoding="utf-8"?>
<sst xmlns="http://schemas.openxmlformats.org/spreadsheetml/2006/main" count="17" uniqueCount="16">
  <si>
    <t>Input Clock Frequency</t>
  </si>
  <si>
    <t>Desired Baud Rate</t>
  </si>
  <si>
    <t>U0BR1</t>
  </si>
  <si>
    <t>U0BR0</t>
  </si>
  <si>
    <t>Modulation Error</t>
  </si>
  <si>
    <t>Time</t>
  </si>
  <si>
    <t>Bit</t>
  </si>
  <si>
    <t>Modulation Value</t>
  </si>
  <si>
    <t>Temporal Error</t>
  </si>
  <si>
    <t>TOTAL</t>
  </si>
  <si>
    <t>Modulation Scheme</t>
  </si>
  <si>
    <t>U0MCTL</t>
  </si>
  <si>
    <t>Read Error</t>
  </si>
  <si>
    <t>Transmit Error</t>
  </si>
  <si>
    <t>Total Error-Squared</t>
  </si>
  <si>
    <t>UxBR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</si>
</sst>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9"/>
  <sheetViews>
    <sheetView tabSelected="1" topLeftCell="B4" workbookViewId="0">
      <selection activeCell="B3" sqref="B3"/>
    </sheetView>
  </sheetViews>
  <sheetFormatPr defaultRowHeight="15"/>
  <cols>
    <col min="1" max="1" width="22.28515625" customWidth="1"/>
    <col min="2" max="2" width="18" customWidth="1"/>
    <col min="3" max="3" width="13.28515625" customWidth="1"/>
    <col min="4" max="4" width="16.85546875" customWidth="1"/>
    <col min="5" max="5" width="15.28515625" customWidth="1"/>
    <col min="6" max="6" width="18.5703125" customWidth="1"/>
    <col min="7" max="7" width="21.85546875" customWidth="1"/>
  </cols>
  <sheetData>
    <row r="1" spans="1:7">
      <c r="A1" s="1" t="s">
        <v>0</v>
      </c>
      <c r="B1">
        <v>8000000</v>
      </c>
      <c r="D1" s="1" t="s">
        <v>2</v>
      </c>
      <c r="E1" s="1" t="s">
        <v>3</v>
      </c>
      <c r="F1" s="1" t="s">
        <v>11</v>
      </c>
      <c r="G1" s="1" t="s">
        <v>15</v>
      </c>
    </row>
    <row r="2" spans="1:7">
      <c r="A2" s="1" t="s">
        <v>1</v>
      </c>
      <c r="B2">
        <v>115200</v>
      </c>
      <c r="D2" t="str">
        <f>CONCATENATE("0x",DEC2HEX(FLOOR(($B$1/$B$2)/256,1),2))</f>
        <v>0x00</v>
      </c>
      <c r="E2" t="str">
        <f>CONCATENATE("0x",DEC2HEX(MOD($B1/$B2,256),2))</f>
        <v>0x45</v>
      </c>
      <c r="F2" t="str">
        <f>CONCATENATE("0x",DEC2HEX(SUM(C22:C277),2))</f>
        <v>0x29</v>
      </c>
      <c r="G2">
        <f>FLOOR(B1/B2,1)</f>
        <v>69</v>
      </c>
    </row>
    <row r="3" spans="1:7">
      <c r="A3" s="1" t="s">
        <v>4</v>
      </c>
      <c r="B3" s="2">
        <f>MOD(B1,B2)/B2</f>
        <v>0.44444444444444442</v>
      </c>
      <c r="F3">
        <f>COUNTIF(C22:C277,"&lt;&gt;0")</f>
        <v>1</v>
      </c>
    </row>
    <row r="4" spans="1:7">
      <c r="A4" s="1" t="s">
        <v>10</v>
      </c>
      <c r="B4" s="3">
        <f>HEX2DEC("6D")</f>
        <v>109</v>
      </c>
    </row>
    <row r="5" spans="1:7">
      <c r="A5" s="1"/>
      <c r="B5" s="3"/>
    </row>
    <row r="7" spans="1:7">
      <c r="A7" s="1" t="s">
        <v>6</v>
      </c>
      <c r="B7" s="1" t="s">
        <v>7</v>
      </c>
      <c r="C7" s="1" t="s">
        <v>5</v>
      </c>
      <c r="D7" s="1" t="s">
        <v>12</v>
      </c>
      <c r="E7" s="1" t="s">
        <v>13</v>
      </c>
      <c r="F7" s="1" t="s">
        <v>14</v>
      </c>
      <c r="G7" s="1"/>
    </row>
    <row r="8" spans="1:7">
      <c r="A8">
        <v>0</v>
      </c>
      <c r="B8">
        <f>MOD(FLOOR($B$4/POWER(2,A8),1),2)</f>
        <v>1</v>
      </c>
      <c r="C8">
        <f>0</f>
        <v>0</v>
      </c>
      <c r="D8" s="2">
        <f>$B$2/$B$1*(2*($B$8+FLOOR($G$2/2,1))+(A8*$G$2))-1-A8</f>
        <v>8.0000000000000071E-3</v>
      </c>
      <c r="E8" s="2">
        <f>$B$2/$B$1*((A8+1)*$G$2+SUM($B$8:$B8))-(A8+1)</f>
        <v>8.0000000000000071E-3</v>
      </c>
      <c r="F8">
        <f>D8*D8+E8*E8</f>
        <v>1.2800000000000024E-4</v>
      </c>
    </row>
    <row r="9" spans="1:7">
      <c r="A9">
        <f>A8+1</f>
        <v>1</v>
      </c>
      <c r="B9">
        <f t="shared" ref="B9:B15" si="0">MOD(FLOOR($B$4/POWER(2,A9),1),2)</f>
        <v>0</v>
      </c>
      <c r="C9">
        <f>C8+FLOOR($B$1/$B$2,1)/$B$1+B9/$B$1</f>
        <v>8.6249999999999996E-6</v>
      </c>
      <c r="D9" s="2">
        <f>$B$2/$B$1*(2*($B$8+FLOOR($G$2/2,1))+(A9*$G$2+SUM($B9:$B$9)))-1-A9</f>
        <v>1.5999999999998238E-3</v>
      </c>
      <c r="E9" s="2">
        <f>$B$2/$B$1*((A9+1)*$G$2+SUM($B$8:$B9))-(A9+1)</f>
        <v>1.5999999999998238E-3</v>
      </c>
      <c r="F9">
        <f t="shared" ref="F9:F17" si="1">D9*D9+E9*E9</f>
        <v>5.1199999999988719E-6</v>
      </c>
    </row>
    <row r="10" spans="1:7">
      <c r="A10">
        <f t="shared" ref="A10:A17" si="2">A9+1</f>
        <v>2</v>
      </c>
      <c r="B10">
        <f t="shared" si="0"/>
        <v>1</v>
      </c>
      <c r="C10">
        <f t="shared" ref="C10:C17" si="3">C9+FLOOR($B$1/$B$2,1)/$B$1+B10/$B$1</f>
        <v>1.7374999999999999E-5</v>
      </c>
      <c r="D10" s="2">
        <f>$B$2/$B$1*(2*($B$8+FLOOR($G$2/2,1))+(A10*$G$2+SUM($B$9:$B10)))-1-A10</f>
        <v>9.5999999999998309E-3</v>
      </c>
      <c r="E10" s="2">
        <f>$B$2/$B$1*((A10+1)*$G$2+SUM($B$8:$B10))-(A10+1)</f>
        <v>9.5999999999998309E-3</v>
      </c>
      <c r="F10">
        <f t="shared" si="1"/>
        <v>1.8431999999999352E-4</v>
      </c>
    </row>
    <row r="11" spans="1:7">
      <c r="A11">
        <f t="shared" si="2"/>
        <v>3</v>
      </c>
      <c r="B11">
        <f t="shared" si="0"/>
        <v>1</v>
      </c>
      <c r="C11">
        <f t="shared" si="3"/>
        <v>2.6124999999999998E-5</v>
      </c>
      <c r="D11" s="2">
        <f>$B$2/$B$1*(2*($B$8+FLOOR($G$2/2,1))+(A11*$G$2+SUM($B$9:$B11)))-1-A11</f>
        <v>1.7599999999999838E-2</v>
      </c>
      <c r="E11" s="2">
        <f>$B$2/$B$1*((A11+1)*$G$2+SUM($B$8:$B11))-(A11+1)</f>
        <v>1.7599999999999838E-2</v>
      </c>
      <c r="F11">
        <f t="shared" si="1"/>
        <v>6.1951999999998865E-4</v>
      </c>
    </row>
    <row r="12" spans="1:7">
      <c r="A12">
        <f t="shared" si="2"/>
        <v>4</v>
      </c>
      <c r="B12">
        <f t="shared" si="0"/>
        <v>0</v>
      </c>
      <c r="C12">
        <f t="shared" si="3"/>
        <v>3.4749999999999998E-5</v>
      </c>
      <c r="D12" s="2">
        <f>$B$2/$B$1*(2*($B$8+FLOOR($G$2/2,1))+(A12*$G$2+SUM($B$9:$B12)))-1-A12</f>
        <v>1.1199999999999655E-2</v>
      </c>
      <c r="E12" s="2">
        <f>$B$2/$B$1*((A12+1)*$G$2+SUM($B$8:$B12))-(A12+1)</f>
        <v>1.1199999999999655E-2</v>
      </c>
      <c r="F12">
        <f t="shared" si="1"/>
        <v>2.5087999999998453E-4</v>
      </c>
    </row>
    <row r="13" spans="1:7">
      <c r="A13">
        <f t="shared" si="2"/>
        <v>5</v>
      </c>
      <c r="B13">
        <f t="shared" si="0"/>
        <v>1</v>
      </c>
      <c r="C13">
        <f t="shared" si="3"/>
        <v>4.35E-5</v>
      </c>
      <c r="D13" s="2">
        <f>$B$2/$B$1*(2*($B$8+FLOOR($G$2/2,1))+(A13*$G$2+SUM($B$9:$B13)))-1-A13</f>
        <v>1.9199999999999662E-2</v>
      </c>
      <c r="E13" s="2">
        <f>$B$2/$B$1*((A13+1)*$G$2+SUM($B$8:$B13))-(A13+1)</f>
        <v>1.9199999999999662E-2</v>
      </c>
      <c r="F13">
        <f t="shared" si="1"/>
        <v>7.3727999999997408E-4</v>
      </c>
    </row>
    <row r="14" spans="1:7">
      <c r="A14">
        <f t="shared" si="2"/>
        <v>6</v>
      </c>
      <c r="B14">
        <f t="shared" si="0"/>
        <v>1</v>
      </c>
      <c r="C14">
        <f t="shared" si="3"/>
        <v>5.2250000000000003E-5</v>
      </c>
      <c r="D14" s="2">
        <f>$B$2/$B$1*(2*($B$8+FLOOR($G$2/2,1))+(A14*$G$2+SUM($B$9:$B14)))-1-A14</f>
        <v>2.7199999999999669E-2</v>
      </c>
      <c r="E14" s="2">
        <f>$B$2/$B$1*((A14+1)*$G$2+SUM($B$8:$B14))-(A14+1)</f>
        <v>2.7199999999999669E-2</v>
      </c>
      <c r="F14">
        <f t="shared" si="1"/>
        <v>1.4796799999999639E-3</v>
      </c>
    </row>
    <row r="15" spans="1:7">
      <c r="A15">
        <f t="shared" si="2"/>
        <v>7</v>
      </c>
      <c r="B15">
        <f t="shared" si="0"/>
        <v>0</v>
      </c>
      <c r="C15">
        <f t="shared" si="3"/>
        <v>6.0875000000000002E-5</v>
      </c>
      <c r="D15" s="2">
        <f>$B$2/$B$1*(2*($B$8+FLOOR($G$2/2,1))+(A15*$G$2+SUM($B$9:$B15)))-1-A15</f>
        <v>2.0799999999999486E-2</v>
      </c>
      <c r="E15" s="2">
        <f>$B$2/$B$1*((A15+1)*$G$2+SUM($B$8:$B15))-(A15+1)</f>
        <v>2.0799999999999486E-2</v>
      </c>
      <c r="F15">
        <f t="shared" si="1"/>
        <v>8.6527999999995724E-4</v>
      </c>
    </row>
    <row r="16" spans="1:7">
      <c r="A16">
        <f t="shared" si="2"/>
        <v>8</v>
      </c>
      <c r="B16">
        <f>MOD(FLOOR($B$4/POWER(2,A16-8),1),2)</f>
        <v>1</v>
      </c>
      <c r="C16">
        <f t="shared" si="3"/>
        <v>6.9625000000000012E-5</v>
      </c>
      <c r="D16" s="2">
        <f>$B$2/$B$1*(2*($B$8+FLOOR($G$2/2,1))+(A16*$G$2+SUM($B$9:$B16)))-1-A16</f>
        <v>2.8800000000000381E-2</v>
      </c>
      <c r="E16" s="2">
        <f>$B$2/$B$1*((A16+1)*$G$2+SUM($B$8:$B16))-(A16+1)</f>
        <v>2.8800000000000381E-2</v>
      </c>
      <c r="F16">
        <f t="shared" si="1"/>
        <v>1.658880000000044E-3</v>
      </c>
    </row>
    <row r="17" spans="1:6">
      <c r="A17">
        <f t="shared" si="2"/>
        <v>9</v>
      </c>
      <c r="B17">
        <f>MOD(FLOOR($B$4/POWER(2,A17-8),1),2)</f>
        <v>0</v>
      </c>
      <c r="C17">
        <f t="shared" si="3"/>
        <v>7.8250000000000005E-5</v>
      </c>
      <c r="D17" s="2">
        <f>$B$2/$B$1*(2*($B$8+FLOOR($G$2/2,1))+(A17*$G$2+SUM($B$9:$B17)))-1-A17</f>
        <v>2.2399999999999309E-2</v>
      </c>
      <c r="E17" s="2">
        <f>$B$2/$B$1*((A17+1)*$G$2+SUM($B$8:$B17))-(A17+1)</f>
        <v>2.2399999999999309E-2</v>
      </c>
      <c r="F17">
        <f t="shared" si="1"/>
        <v>1.0035199999999381E-3</v>
      </c>
    </row>
    <row r="19" spans="1:6">
      <c r="A19" t="s">
        <v>9</v>
      </c>
      <c r="F19">
        <f>SUM(F8:F17)</f>
        <v>6.9324799999998434E-3</v>
      </c>
    </row>
    <row r="21" spans="1:6">
      <c r="A21" t="s">
        <v>10</v>
      </c>
      <c r="B21" t="s">
        <v>8</v>
      </c>
    </row>
    <row r="22" spans="1:6">
      <c r="A22">
        <v>0</v>
      </c>
      <c r="B22">
        <f>F19</f>
        <v>6.9324799999998434E-3</v>
      </c>
      <c r="C22">
        <f>IF(B22=$B$279,A22,0)</f>
        <v>0</v>
      </c>
    </row>
    <row r="23" spans="1:6">
      <c r="A23">
        <f>A22+1</f>
        <v>1</v>
      </c>
      <c r="B23">
        <f t="dataTable" ref="B23:B277" dt2D="0" dtr="0" r1="B4"/>
        <v>1.0895360000000073E-2</v>
      </c>
      <c r="C23">
        <f t="shared" ref="C23:C86" si="4">IF(B23=$B$279,A23,0)</f>
        <v>0</v>
      </c>
    </row>
    <row r="24" spans="1:6">
      <c r="A24">
        <f t="shared" ref="A24:A87" si="5">A23+1</f>
        <v>2</v>
      </c>
      <c r="B24">
        <v>2.0986880000000277E-2</v>
      </c>
      <c r="C24">
        <f t="shared" si="4"/>
        <v>0</v>
      </c>
    </row>
    <row r="25" spans="1:6">
      <c r="A25">
        <f t="shared" si="5"/>
        <v>3</v>
      </c>
      <c r="B25">
        <v>3.0617600000000474E-3</v>
      </c>
      <c r="C25">
        <f t="shared" si="4"/>
        <v>0</v>
      </c>
    </row>
    <row r="26" spans="1:6">
      <c r="A26">
        <f t="shared" si="5"/>
        <v>4</v>
      </c>
      <c r="B26">
        <v>2.4581120000000314E-2</v>
      </c>
      <c r="C26">
        <f t="shared" si="4"/>
        <v>0</v>
      </c>
    </row>
    <row r="27" spans="1:6">
      <c r="A27">
        <f t="shared" si="5"/>
        <v>5</v>
      </c>
      <c r="B27">
        <v>3.338239999999975E-3</v>
      </c>
      <c r="C27">
        <f t="shared" si="4"/>
        <v>0</v>
      </c>
    </row>
    <row r="28" spans="1:6">
      <c r="A28">
        <f t="shared" si="5"/>
        <v>6</v>
      </c>
      <c r="B28">
        <v>9.2825600000000751E-3</v>
      </c>
      <c r="C28">
        <f t="shared" si="4"/>
        <v>0</v>
      </c>
    </row>
    <row r="29" spans="1:6">
      <c r="A29">
        <f t="shared" si="5"/>
        <v>7</v>
      </c>
      <c r="B29">
        <v>2.9695999999999373E-3</v>
      </c>
      <c r="C29">
        <f t="shared" si="4"/>
        <v>0</v>
      </c>
    </row>
    <row r="30" spans="1:6">
      <c r="A30">
        <f t="shared" si="5"/>
        <v>8</v>
      </c>
      <c r="B30">
        <v>2.5687040000000334E-2</v>
      </c>
      <c r="C30">
        <f t="shared" si="4"/>
        <v>0</v>
      </c>
    </row>
    <row r="31" spans="1:6">
      <c r="A31">
        <f t="shared" si="5"/>
        <v>9</v>
      </c>
      <c r="B31">
        <v>3.1999999999999798E-3</v>
      </c>
      <c r="C31">
        <f t="shared" si="4"/>
        <v>0</v>
      </c>
    </row>
    <row r="32" spans="1:6">
      <c r="A32">
        <f t="shared" si="5"/>
        <v>10</v>
      </c>
      <c r="B32">
        <v>9.5590400000000811E-3</v>
      </c>
      <c r="C32">
        <f t="shared" si="4"/>
        <v>0</v>
      </c>
    </row>
    <row r="33" spans="1:3">
      <c r="A33">
        <f t="shared" si="5"/>
        <v>11</v>
      </c>
      <c r="B33">
        <v>2.0019199999999288E-3</v>
      </c>
      <c r="C33">
        <f t="shared" si="4"/>
        <v>0</v>
      </c>
    </row>
    <row r="34" spans="1:3">
      <c r="A34">
        <f t="shared" si="5"/>
        <v>12</v>
      </c>
      <c r="B34">
        <v>1.2323840000000096E-2</v>
      </c>
      <c r="C34">
        <f t="shared" si="4"/>
        <v>0</v>
      </c>
    </row>
    <row r="35" spans="1:3">
      <c r="A35">
        <f t="shared" si="5"/>
        <v>13</v>
      </c>
      <c r="B35">
        <v>1.4489599999999822E-3</v>
      </c>
      <c r="C35">
        <f t="shared" si="4"/>
        <v>0</v>
      </c>
    </row>
    <row r="36" spans="1:3">
      <c r="A36">
        <f t="shared" si="5"/>
        <v>14</v>
      </c>
      <c r="B36">
        <v>3.6608000000000101E-3</v>
      </c>
      <c r="C36">
        <f t="shared" si="4"/>
        <v>0</v>
      </c>
    </row>
    <row r="37" spans="1:3">
      <c r="A37">
        <f t="shared" si="5"/>
        <v>15</v>
      </c>
      <c r="B37">
        <v>7.7158399999998697E-3</v>
      </c>
      <c r="C37">
        <f t="shared" si="4"/>
        <v>0</v>
      </c>
    </row>
    <row r="38" spans="1:3">
      <c r="A38">
        <f t="shared" si="5"/>
        <v>16</v>
      </c>
      <c r="B38">
        <v>2.7161600000000334E-2</v>
      </c>
      <c r="C38">
        <f t="shared" si="4"/>
        <v>0</v>
      </c>
    </row>
    <row r="39" spans="1:3">
      <c r="A39">
        <f t="shared" si="5"/>
        <v>17</v>
      </c>
      <c r="B39">
        <v>3.4303999999999888E-3</v>
      </c>
      <c r="C39">
        <f t="shared" si="4"/>
        <v>0</v>
      </c>
    </row>
    <row r="40" spans="1:3">
      <c r="A40">
        <f t="shared" si="5"/>
        <v>18</v>
      </c>
      <c r="B40">
        <v>1.0204160000000097E-2</v>
      </c>
      <c r="C40">
        <f t="shared" si="4"/>
        <v>0</v>
      </c>
    </row>
    <row r="41" spans="1:3">
      <c r="A41">
        <f t="shared" si="5"/>
        <v>19</v>
      </c>
      <c r="B41">
        <v>1.4028799999999356E-3</v>
      </c>
      <c r="C41">
        <f t="shared" si="4"/>
        <v>0</v>
      </c>
    </row>
    <row r="42" spans="1:3">
      <c r="A42">
        <f t="shared" si="5"/>
        <v>20</v>
      </c>
      <c r="B42">
        <v>1.2968960000000113E-2</v>
      </c>
      <c r="C42">
        <f t="shared" si="4"/>
        <v>0</v>
      </c>
    </row>
    <row r="43" spans="1:3">
      <c r="A43">
        <f t="shared" si="5"/>
        <v>21</v>
      </c>
      <c r="B43">
        <v>8.4991999999998904E-4</v>
      </c>
      <c r="C43">
        <f t="shared" si="4"/>
        <v>0</v>
      </c>
    </row>
    <row r="44" spans="1:3">
      <c r="A44">
        <f t="shared" si="5"/>
        <v>22</v>
      </c>
      <c r="B44">
        <v>3.4764800000000179E-3</v>
      </c>
      <c r="C44">
        <f t="shared" si="4"/>
        <v>0</v>
      </c>
    </row>
    <row r="45" spans="1:3">
      <c r="A45">
        <f t="shared" si="5"/>
        <v>23</v>
      </c>
      <c r="B45">
        <v>6.2873599999998539E-3</v>
      </c>
      <c r="C45">
        <f t="shared" si="4"/>
        <v>0</v>
      </c>
    </row>
    <row r="46" spans="1:3">
      <c r="A46">
        <f t="shared" si="5"/>
        <v>24</v>
      </c>
      <c r="B46">
        <v>1.4074880000000133E-2</v>
      </c>
      <c r="C46">
        <f t="shared" si="4"/>
        <v>0</v>
      </c>
    </row>
    <row r="47" spans="1:3">
      <c r="A47">
        <f t="shared" si="5"/>
        <v>25</v>
      </c>
      <c r="B47">
        <v>7.1167999999999384E-4</v>
      </c>
      <c r="C47">
        <f t="shared" si="4"/>
        <v>0</v>
      </c>
    </row>
    <row r="48" spans="1:3">
      <c r="A48">
        <f t="shared" si="5"/>
        <v>26</v>
      </c>
      <c r="B48">
        <v>3.7529600000000252E-3</v>
      </c>
      <c r="C48">
        <f t="shared" si="4"/>
        <v>0</v>
      </c>
    </row>
    <row r="49" spans="1:3">
      <c r="A49">
        <f t="shared" si="5"/>
        <v>27</v>
      </c>
      <c r="B49">
        <v>5.3196799999998459E-3</v>
      </c>
      <c r="C49">
        <f t="shared" si="4"/>
        <v>0</v>
      </c>
    </row>
    <row r="50" spans="1:3">
      <c r="A50">
        <f t="shared" si="5"/>
        <v>28</v>
      </c>
      <c r="B50">
        <v>5.6883199999999941E-3</v>
      </c>
      <c r="C50">
        <f t="shared" si="4"/>
        <v>0</v>
      </c>
    </row>
    <row r="51" spans="1:3">
      <c r="A51">
        <f t="shared" si="5"/>
        <v>29</v>
      </c>
      <c r="B51">
        <v>3.9372799999998773E-3</v>
      </c>
      <c r="C51">
        <f t="shared" si="4"/>
        <v>0</v>
      </c>
    </row>
    <row r="52" spans="1:3">
      <c r="A52">
        <f t="shared" si="5"/>
        <v>30</v>
      </c>
      <c r="B52">
        <v>2.8313599999999425E-3</v>
      </c>
      <c r="C52">
        <f t="shared" si="4"/>
        <v>0</v>
      </c>
    </row>
    <row r="53" spans="1:3">
      <c r="A53">
        <f t="shared" si="5"/>
        <v>31</v>
      </c>
      <c r="B53">
        <v>1.6010239999999887E-2</v>
      </c>
      <c r="C53">
        <f t="shared" si="4"/>
        <v>0</v>
      </c>
    </row>
    <row r="54" spans="1:3">
      <c r="A54">
        <f t="shared" si="5"/>
        <v>32</v>
      </c>
      <c r="B54">
        <v>2.9004800000000358E-2</v>
      </c>
      <c r="C54">
        <f t="shared" si="4"/>
        <v>0</v>
      </c>
    </row>
    <row r="55" spans="1:3">
      <c r="A55">
        <f t="shared" si="5"/>
        <v>33</v>
      </c>
      <c r="B55">
        <v>4.029439999999971E-3</v>
      </c>
      <c r="C55">
        <f t="shared" si="4"/>
        <v>0</v>
      </c>
    </row>
    <row r="56" spans="1:3">
      <c r="A56">
        <f t="shared" si="5"/>
        <v>34</v>
      </c>
      <c r="B56">
        <v>1.1217920000000096E-2</v>
      </c>
      <c r="C56">
        <f t="shared" si="4"/>
        <v>0</v>
      </c>
    </row>
    <row r="57" spans="1:3">
      <c r="A57">
        <f t="shared" si="5"/>
        <v>35</v>
      </c>
      <c r="B57">
        <v>1.1724799999999578E-3</v>
      </c>
      <c r="C57">
        <f t="shared" si="4"/>
        <v>0</v>
      </c>
    </row>
    <row r="58" spans="1:3">
      <c r="A58">
        <f t="shared" si="5"/>
        <v>36</v>
      </c>
      <c r="B58">
        <v>1.3982720000000112E-2</v>
      </c>
      <c r="C58">
        <f t="shared" si="4"/>
        <v>0</v>
      </c>
    </row>
    <row r="59" spans="1:3">
      <c r="A59">
        <f t="shared" si="5"/>
        <v>37</v>
      </c>
      <c r="B59">
        <v>6.1952000000001131E-4</v>
      </c>
      <c r="C59">
        <f t="shared" si="4"/>
        <v>0</v>
      </c>
    </row>
    <row r="60" spans="1:3">
      <c r="A60">
        <f t="shared" si="5"/>
        <v>38</v>
      </c>
      <c r="B60">
        <v>3.66080000000002E-3</v>
      </c>
      <c r="C60">
        <f t="shared" si="4"/>
        <v>0</v>
      </c>
    </row>
    <row r="61" spans="1:3">
      <c r="A61">
        <f t="shared" si="5"/>
        <v>39</v>
      </c>
      <c r="B61">
        <v>5.2275199999998545E-3</v>
      </c>
      <c r="C61">
        <f t="shared" si="4"/>
        <v>0</v>
      </c>
    </row>
    <row r="62" spans="1:3">
      <c r="A62">
        <f t="shared" si="5"/>
        <v>40</v>
      </c>
      <c r="B62">
        <v>1.5088640000000136E-2</v>
      </c>
      <c r="C62">
        <f t="shared" si="4"/>
        <v>0</v>
      </c>
    </row>
    <row r="63" spans="1:3">
      <c r="A63">
        <f t="shared" si="5"/>
        <v>41</v>
      </c>
      <c r="B63">
        <v>4.8128000000001621E-4</v>
      </c>
      <c r="C63">
        <f t="shared" si="4"/>
        <v>41</v>
      </c>
    </row>
    <row r="64" spans="1:3">
      <c r="A64">
        <f t="shared" si="5"/>
        <v>42</v>
      </c>
      <c r="B64">
        <v>3.9372800000000274E-3</v>
      </c>
      <c r="C64">
        <f t="shared" si="4"/>
        <v>0</v>
      </c>
    </row>
    <row r="65" spans="1:3">
      <c r="A65">
        <f t="shared" si="5"/>
        <v>43</v>
      </c>
      <c r="B65">
        <v>4.2598399999998465E-3</v>
      </c>
      <c r="C65">
        <f t="shared" si="4"/>
        <v>0</v>
      </c>
    </row>
    <row r="66" spans="1:3">
      <c r="A66">
        <f t="shared" si="5"/>
        <v>44</v>
      </c>
      <c r="B66">
        <v>5.8726399999999975E-3</v>
      </c>
      <c r="C66">
        <f t="shared" si="4"/>
        <v>0</v>
      </c>
    </row>
    <row r="67" spans="1:3">
      <c r="A67">
        <f t="shared" si="5"/>
        <v>45</v>
      </c>
      <c r="B67">
        <v>2.8774399999998779E-3</v>
      </c>
      <c r="C67">
        <f t="shared" si="4"/>
        <v>0</v>
      </c>
    </row>
    <row r="68" spans="1:3">
      <c r="A68">
        <f t="shared" si="5"/>
        <v>46</v>
      </c>
      <c r="B68">
        <v>2.1862399999999535E-3</v>
      </c>
      <c r="C68">
        <f t="shared" si="4"/>
        <v>0</v>
      </c>
    </row>
    <row r="69" spans="1:3">
      <c r="A69">
        <f t="shared" si="5"/>
        <v>47</v>
      </c>
      <c r="B69">
        <v>1.4120959999999863E-2</v>
      </c>
      <c r="C69">
        <f t="shared" si="4"/>
        <v>0</v>
      </c>
    </row>
    <row r="70" spans="1:3">
      <c r="A70">
        <f t="shared" si="5"/>
        <v>48</v>
      </c>
      <c r="B70">
        <v>1.6563200000000135E-2</v>
      </c>
      <c r="C70">
        <f t="shared" si="4"/>
        <v>0</v>
      </c>
    </row>
    <row r="71" spans="1:3">
      <c r="A71">
        <f t="shared" si="5"/>
        <v>49</v>
      </c>
      <c r="B71">
        <v>7.1168000000002506E-4</v>
      </c>
      <c r="C71">
        <f t="shared" si="4"/>
        <v>0</v>
      </c>
    </row>
    <row r="72" spans="1:3">
      <c r="A72">
        <f t="shared" si="5"/>
        <v>50</v>
      </c>
      <c r="B72">
        <v>4.5824000000000437E-3</v>
      </c>
      <c r="C72">
        <f t="shared" si="4"/>
        <v>0</v>
      </c>
    </row>
    <row r="73" spans="1:3">
      <c r="A73">
        <f t="shared" si="5"/>
        <v>51</v>
      </c>
      <c r="B73">
        <v>3.6607999999998531E-3</v>
      </c>
      <c r="C73">
        <f t="shared" si="4"/>
        <v>0</v>
      </c>
    </row>
    <row r="74" spans="1:3">
      <c r="A74">
        <f t="shared" si="5"/>
        <v>52</v>
      </c>
      <c r="B74">
        <v>6.5177600000000139E-3</v>
      </c>
      <c r="C74">
        <f t="shared" si="4"/>
        <v>0</v>
      </c>
    </row>
    <row r="75" spans="1:3">
      <c r="A75">
        <f t="shared" si="5"/>
        <v>53</v>
      </c>
      <c r="B75">
        <v>2.2783999999998845E-3</v>
      </c>
      <c r="C75">
        <f t="shared" si="4"/>
        <v>0</v>
      </c>
    </row>
    <row r="76" spans="1:3">
      <c r="A76">
        <f t="shared" si="5"/>
        <v>54</v>
      </c>
      <c r="B76">
        <v>2.0019199999999613E-3</v>
      </c>
      <c r="C76">
        <f t="shared" si="4"/>
        <v>0</v>
      </c>
    </row>
    <row r="77" spans="1:3">
      <c r="A77">
        <f t="shared" si="5"/>
        <v>55</v>
      </c>
      <c r="B77">
        <v>1.2692479999999846E-2</v>
      </c>
      <c r="C77">
        <f t="shared" si="4"/>
        <v>0</v>
      </c>
    </row>
    <row r="78" spans="1:3">
      <c r="A78">
        <f t="shared" si="5"/>
        <v>56</v>
      </c>
      <c r="B78">
        <v>7.6236800000000346E-3</v>
      </c>
      <c r="C78">
        <f t="shared" si="4"/>
        <v>0</v>
      </c>
    </row>
    <row r="79" spans="1:3">
      <c r="A79">
        <f t="shared" si="5"/>
        <v>57</v>
      </c>
      <c r="B79">
        <v>2.1401599999998893E-3</v>
      </c>
      <c r="C79">
        <f t="shared" si="4"/>
        <v>0</v>
      </c>
    </row>
    <row r="80" spans="1:3">
      <c r="A80">
        <f t="shared" si="5"/>
        <v>58</v>
      </c>
      <c r="B80">
        <v>2.2783999999999686E-3</v>
      </c>
      <c r="C80">
        <f t="shared" si="4"/>
        <v>0</v>
      </c>
    </row>
    <row r="81" spans="1:3">
      <c r="A81">
        <f t="shared" si="5"/>
        <v>59</v>
      </c>
      <c r="B81">
        <v>1.1724799999999839E-2</v>
      </c>
      <c r="C81">
        <f t="shared" si="4"/>
        <v>0</v>
      </c>
    </row>
    <row r="82" spans="1:3">
      <c r="A82">
        <f t="shared" si="5"/>
        <v>60</v>
      </c>
      <c r="B82">
        <v>3.3843199999999685E-3</v>
      </c>
      <c r="C82">
        <f t="shared" si="4"/>
        <v>0</v>
      </c>
    </row>
    <row r="83" spans="1:3">
      <c r="A83">
        <f t="shared" si="5"/>
        <v>61</v>
      </c>
      <c r="B83">
        <v>9.5129599999998482E-3</v>
      </c>
      <c r="C83">
        <f t="shared" si="4"/>
        <v>0</v>
      </c>
    </row>
    <row r="84" spans="1:3">
      <c r="A84">
        <f t="shared" si="5"/>
        <v>62</v>
      </c>
      <c r="B84">
        <v>5.5039999999998545E-3</v>
      </c>
      <c r="C84">
        <f t="shared" si="4"/>
        <v>0</v>
      </c>
    </row>
    <row r="85" spans="1:3">
      <c r="A85">
        <f t="shared" si="5"/>
        <v>63</v>
      </c>
      <c r="B85">
        <v>2.6562559999999985E-2</v>
      </c>
      <c r="C85">
        <f t="shared" si="4"/>
        <v>0</v>
      </c>
    </row>
    <row r="86" spans="1:3">
      <c r="A86">
        <f t="shared" si="5"/>
        <v>64</v>
      </c>
      <c r="B86">
        <v>3.1216640000000399E-2</v>
      </c>
      <c r="C86">
        <f t="shared" si="4"/>
        <v>0</v>
      </c>
    </row>
    <row r="87" spans="1:3">
      <c r="A87">
        <f t="shared" si="5"/>
        <v>65</v>
      </c>
      <c r="B87">
        <v>4.9971199999999799E-3</v>
      </c>
      <c r="C87">
        <f t="shared" ref="C87:C150" si="6">IF(B87=$B$279,A87,0)</f>
        <v>0</v>
      </c>
    </row>
    <row r="88" spans="1:3">
      <c r="A88">
        <f t="shared" ref="A88:A151" si="7">A87+1</f>
        <v>66</v>
      </c>
      <c r="B88">
        <v>1.260032000000012E-2</v>
      </c>
      <c r="C88">
        <f t="shared" si="6"/>
        <v>0</v>
      </c>
    </row>
    <row r="89" spans="1:3">
      <c r="A89">
        <f t="shared" si="7"/>
        <v>67</v>
      </c>
      <c r="B89">
        <v>1.3107199999999616E-3</v>
      </c>
      <c r="C89">
        <f t="shared" si="6"/>
        <v>0</v>
      </c>
    </row>
    <row r="90" spans="1:3">
      <c r="A90">
        <f t="shared" si="7"/>
        <v>68</v>
      </c>
      <c r="B90">
        <v>1.5365120000000135E-2</v>
      </c>
      <c r="C90">
        <f t="shared" si="6"/>
        <v>0</v>
      </c>
    </row>
    <row r="91" spans="1:3">
      <c r="A91">
        <f t="shared" si="7"/>
        <v>69</v>
      </c>
      <c r="B91">
        <v>7.5776000000001508E-4</v>
      </c>
      <c r="C91">
        <f t="shared" si="6"/>
        <v>0</v>
      </c>
    </row>
    <row r="92" spans="1:3">
      <c r="A92">
        <f t="shared" si="7"/>
        <v>70</v>
      </c>
      <c r="B92">
        <v>4.2137600000000256E-3</v>
      </c>
      <c r="C92">
        <f t="shared" si="6"/>
        <v>0</v>
      </c>
    </row>
    <row r="93" spans="1:3">
      <c r="A93">
        <f t="shared" si="7"/>
        <v>71</v>
      </c>
      <c r="B93">
        <v>4.5363199999998707E-3</v>
      </c>
      <c r="C93">
        <f t="shared" si="6"/>
        <v>0</v>
      </c>
    </row>
    <row r="94" spans="1:3">
      <c r="A94">
        <f t="shared" si="7"/>
        <v>72</v>
      </c>
      <c r="B94">
        <v>1.6471040000000155E-2</v>
      </c>
      <c r="C94">
        <f t="shared" si="6"/>
        <v>0</v>
      </c>
    </row>
    <row r="95" spans="1:3">
      <c r="A95">
        <f t="shared" si="7"/>
        <v>73</v>
      </c>
      <c r="B95">
        <v>6.1952000000001987E-4</v>
      </c>
      <c r="C95">
        <f t="shared" si="6"/>
        <v>0</v>
      </c>
    </row>
    <row r="96" spans="1:3">
      <c r="A96">
        <f t="shared" si="7"/>
        <v>74</v>
      </c>
      <c r="B96">
        <v>4.4902400000000325E-3</v>
      </c>
      <c r="C96">
        <f t="shared" si="6"/>
        <v>0</v>
      </c>
    </row>
    <row r="97" spans="1:3">
      <c r="A97">
        <f t="shared" si="7"/>
        <v>75</v>
      </c>
      <c r="B97">
        <v>3.5686399999998626E-3</v>
      </c>
      <c r="C97">
        <f t="shared" si="6"/>
        <v>0</v>
      </c>
    </row>
    <row r="98" spans="1:3">
      <c r="A98">
        <f t="shared" si="7"/>
        <v>76</v>
      </c>
      <c r="B98">
        <v>6.4256000000000027E-3</v>
      </c>
      <c r="C98">
        <f t="shared" si="6"/>
        <v>0</v>
      </c>
    </row>
    <row r="99" spans="1:3">
      <c r="A99">
        <f t="shared" si="7"/>
        <v>77</v>
      </c>
      <c r="B99">
        <v>2.1862399999998936E-3</v>
      </c>
      <c r="C99">
        <f t="shared" si="6"/>
        <v>0</v>
      </c>
    </row>
    <row r="100" spans="1:3">
      <c r="A100">
        <f t="shared" si="7"/>
        <v>78</v>
      </c>
      <c r="B100">
        <v>1.9097599999999637E-3</v>
      </c>
      <c r="C100">
        <f t="shared" si="6"/>
        <v>0</v>
      </c>
    </row>
    <row r="101" spans="1:3">
      <c r="A101">
        <f t="shared" si="7"/>
        <v>79</v>
      </c>
      <c r="B101">
        <v>1.2600319999999856E-2</v>
      </c>
      <c r="C101">
        <f t="shared" si="6"/>
        <v>0</v>
      </c>
    </row>
    <row r="102" spans="1:3">
      <c r="A102">
        <f t="shared" si="7"/>
        <v>80</v>
      </c>
      <c r="B102">
        <v>1.7945600000000155E-2</v>
      </c>
      <c r="C102">
        <f t="shared" si="6"/>
        <v>0</v>
      </c>
    </row>
    <row r="103" spans="1:3">
      <c r="A103">
        <f t="shared" si="7"/>
        <v>81</v>
      </c>
      <c r="B103">
        <v>8.4992000000002873E-4</v>
      </c>
      <c r="C103">
        <f t="shared" si="6"/>
        <v>0</v>
      </c>
    </row>
    <row r="104" spans="1:3">
      <c r="A104">
        <f t="shared" si="7"/>
        <v>82</v>
      </c>
      <c r="B104">
        <v>5.1353600000000506E-3</v>
      </c>
      <c r="C104">
        <f t="shared" si="6"/>
        <v>0</v>
      </c>
    </row>
    <row r="105" spans="1:3">
      <c r="A105">
        <f t="shared" si="7"/>
        <v>83</v>
      </c>
      <c r="B105">
        <v>2.9695999999998692E-3</v>
      </c>
      <c r="C105">
        <f t="shared" si="6"/>
        <v>0</v>
      </c>
    </row>
    <row r="106" spans="1:3">
      <c r="A106">
        <f t="shared" si="7"/>
        <v>84</v>
      </c>
      <c r="B106">
        <v>7.0707200000000208E-3</v>
      </c>
      <c r="C106">
        <f t="shared" si="6"/>
        <v>0</v>
      </c>
    </row>
    <row r="107" spans="1:3">
      <c r="A107">
        <f t="shared" si="7"/>
        <v>85</v>
      </c>
      <c r="B107">
        <v>1.5871999999999005E-3</v>
      </c>
      <c r="C107">
        <f t="shared" si="6"/>
        <v>0</v>
      </c>
    </row>
    <row r="108" spans="1:3">
      <c r="A108">
        <f t="shared" si="7"/>
        <v>86</v>
      </c>
      <c r="B108">
        <v>1.7254399999999716E-3</v>
      </c>
      <c r="C108">
        <f t="shared" si="6"/>
        <v>0</v>
      </c>
    </row>
    <row r="109" spans="1:3">
      <c r="A109">
        <f t="shared" si="7"/>
        <v>87</v>
      </c>
      <c r="B109">
        <v>1.1171839999999841E-2</v>
      </c>
      <c r="C109">
        <f t="shared" si="6"/>
        <v>0</v>
      </c>
    </row>
    <row r="110" spans="1:3">
      <c r="A110">
        <f t="shared" si="7"/>
        <v>88</v>
      </c>
      <c r="B110">
        <v>8.1766400000000405E-3</v>
      </c>
      <c r="C110">
        <f t="shared" si="6"/>
        <v>0</v>
      </c>
    </row>
    <row r="111" spans="1:3">
      <c r="A111">
        <f t="shared" si="7"/>
        <v>89</v>
      </c>
      <c r="B111">
        <v>1.4489599999999055E-3</v>
      </c>
      <c r="C111">
        <f t="shared" si="6"/>
        <v>0</v>
      </c>
    </row>
    <row r="112" spans="1:3">
      <c r="A112">
        <f t="shared" si="7"/>
        <v>90</v>
      </c>
      <c r="B112">
        <v>2.0019199999999787E-3</v>
      </c>
      <c r="C112">
        <f t="shared" si="6"/>
        <v>0</v>
      </c>
    </row>
    <row r="113" spans="1:3">
      <c r="A113">
        <f t="shared" si="7"/>
        <v>91</v>
      </c>
      <c r="B113">
        <v>1.0204159999999834E-2</v>
      </c>
      <c r="C113">
        <f t="shared" si="6"/>
        <v>0</v>
      </c>
    </row>
    <row r="114" spans="1:3">
      <c r="A114">
        <f t="shared" si="7"/>
        <v>92</v>
      </c>
      <c r="B114">
        <v>3.1078399999999781E-3</v>
      </c>
      <c r="C114">
        <f t="shared" si="6"/>
        <v>0</v>
      </c>
    </row>
    <row r="115" spans="1:3">
      <c r="A115">
        <f t="shared" si="7"/>
        <v>93</v>
      </c>
      <c r="B115">
        <v>7.9923199999998428E-3</v>
      </c>
      <c r="C115">
        <f t="shared" si="6"/>
        <v>0</v>
      </c>
    </row>
    <row r="116" spans="1:3">
      <c r="A116">
        <f t="shared" si="7"/>
        <v>94</v>
      </c>
      <c r="B116">
        <v>4.3980799999998581E-3</v>
      </c>
      <c r="C116">
        <f t="shared" si="6"/>
        <v>0</v>
      </c>
    </row>
    <row r="117" spans="1:3">
      <c r="A117">
        <f t="shared" si="7"/>
        <v>95</v>
      </c>
      <c r="B117">
        <v>2.421247999999996E-2</v>
      </c>
      <c r="C117">
        <f t="shared" si="6"/>
        <v>0</v>
      </c>
    </row>
    <row r="118" spans="1:3">
      <c r="A118">
        <f t="shared" si="7"/>
        <v>96</v>
      </c>
      <c r="B118">
        <v>1.9788800000000183E-2</v>
      </c>
      <c r="C118">
        <f t="shared" si="6"/>
        <v>0</v>
      </c>
    </row>
    <row r="119" spans="1:3">
      <c r="A119">
        <f t="shared" si="7"/>
        <v>97</v>
      </c>
      <c r="B119">
        <v>1.4489600000000106E-3</v>
      </c>
      <c r="C119">
        <f t="shared" si="6"/>
        <v>0</v>
      </c>
    </row>
    <row r="120" spans="1:3">
      <c r="A120">
        <f t="shared" si="7"/>
        <v>98</v>
      </c>
      <c r="B120">
        <v>6.1491200000000478E-3</v>
      </c>
      <c r="C120">
        <f t="shared" si="6"/>
        <v>0</v>
      </c>
    </row>
    <row r="121" spans="1:3">
      <c r="A121">
        <f t="shared" si="7"/>
        <v>99</v>
      </c>
      <c r="B121">
        <v>2.7391999999998914E-3</v>
      </c>
      <c r="C121">
        <f t="shared" si="6"/>
        <v>0</v>
      </c>
    </row>
    <row r="122" spans="1:3">
      <c r="A122">
        <f t="shared" si="7"/>
        <v>100</v>
      </c>
      <c r="B122">
        <v>8.0844800000000189E-3</v>
      </c>
      <c r="C122">
        <f t="shared" si="6"/>
        <v>0</v>
      </c>
    </row>
    <row r="123" spans="1:3">
      <c r="A123">
        <f t="shared" si="7"/>
        <v>101</v>
      </c>
      <c r="B123">
        <v>1.3567999999999228E-3</v>
      </c>
      <c r="C123">
        <f t="shared" si="6"/>
        <v>0</v>
      </c>
    </row>
    <row r="124" spans="1:3">
      <c r="A124">
        <f t="shared" si="7"/>
        <v>102</v>
      </c>
      <c r="B124">
        <v>1.9097599999999737E-3</v>
      </c>
      <c r="C124">
        <f t="shared" si="6"/>
        <v>0</v>
      </c>
    </row>
    <row r="125" spans="1:3">
      <c r="A125">
        <f t="shared" si="7"/>
        <v>103</v>
      </c>
      <c r="B125">
        <v>1.0111999999999842E-2</v>
      </c>
      <c r="C125">
        <f t="shared" si="6"/>
        <v>0</v>
      </c>
    </row>
    <row r="126" spans="1:3">
      <c r="A126">
        <f t="shared" si="7"/>
        <v>104</v>
      </c>
      <c r="B126">
        <v>9.1904000000000395E-3</v>
      </c>
      <c r="C126">
        <f t="shared" si="6"/>
        <v>0</v>
      </c>
    </row>
    <row r="127" spans="1:3">
      <c r="A127">
        <f t="shared" si="7"/>
        <v>105</v>
      </c>
      <c r="B127">
        <v>1.2185599999999276E-3</v>
      </c>
      <c r="C127">
        <f t="shared" si="6"/>
        <v>0</v>
      </c>
    </row>
    <row r="128" spans="1:3">
      <c r="A128">
        <f t="shared" si="7"/>
        <v>106</v>
      </c>
      <c r="B128">
        <v>2.1862399999999808E-3</v>
      </c>
      <c r="C128">
        <f t="shared" si="6"/>
        <v>0</v>
      </c>
    </row>
    <row r="129" spans="1:3">
      <c r="A129">
        <f t="shared" si="7"/>
        <v>107</v>
      </c>
      <c r="B129">
        <v>9.1443199999998344E-3</v>
      </c>
      <c r="C129">
        <f t="shared" si="6"/>
        <v>0</v>
      </c>
    </row>
    <row r="130" spans="1:3">
      <c r="A130">
        <f t="shared" si="7"/>
        <v>108</v>
      </c>
      <c r="B130">
        <v>3.2921599999999802E-3</v>
      </c>
      <c r="C130">
        <f t="shared" si="6"/>
        <v>0</v>
      </c>
    </row>
    <row r="131" spans="1:3">
      <c r="A131">
        <f t="shared" si="7"/>
        <v>109</v>
      </c>
      <c r="B131">
        <v>6.9324799999998434E-3</v>
      </c>
      <c r="C131">
        <f t="shared" si="6"/>
        <v>0</v>
      </c>
    </row>
    <row r="132" spans="1:3">
      <c r="A132">
        <f t="shared" si="7"/>
        <v>110</v>
      </c>
      <c r="B132">
        <v>3.75295999999987E-3</v>
      </c>
      <c r="C132">
        <f t="shared" si="6"/>
        <v>0</v>
      </c>
    </row>
    <row r="133" spans="1:3">
      <c r="A133">
        <f t="shared" si="7"/>
        <v>111</v>
      </c>
      <c r="B133">
        <v>2.2323199999999939E-2</v>
      </c>
      <c r="C133">
        <f t="shared" si="6"/>
        <v>0</v>
      </c>
    </row>
    <row r="134" spans="1:3">
      <c r="A134">
        <f t="shared" si="7"/>
        <v>112</v>
      </c>
      <c r="B134">
        <v>1.0664960000000039E-2</v>
      </c>
      <c r="C134">
        <f t="shared" si="6"/>
        <v>0</v>
      </c>
    </row>
    <row r="135" spans="1:3">
      <c r="A135">
        <f t="shared" si="7"/>
        <v>113</v>
      </c>
      <c r="B135">
        <v>1.4489599999999367E-3</v>
      </c>
      <c r="C135">
        <f t="shared" si="6"/>
        <v>0</v>
      </c>
    </row>
    <row r="136" spans="1:3">
      <c r="A136">
        <f t="shared" si="7"/>
        <v>114</v>
      </c>
      <c r="B136">
        <v>2.8313599999999976E-3</v>
      </c>
      <c r="C136">
        <f t="shared" si="6"/>
        <v>0</v>
      </c>
    </row>
    <row r="137" spans="1:3">
      <c r="A137">
        <f t="shared" si="7"/>
        <v>115</v>
      </c>
      <c r="B137">
        <v>8.5452799999998393E-3</v>
      </c>
      <c r="C137">
        <f t="shared" si="6"/>
        <v>0</v>
      </c>
    </row>
    <row r="138" spans="1:3">
      <c r="A138">
        <f t="shared" si="7"/>
        <v>116</v>
      </c>
      <c r="B138">
        <v>3.937279999999997E-3</v>
      </c>
      <c r="C138">
        <f t="shared" si="6"/>
        <v>0</v>
      </c>
    </row>
    <row r="139" spans="1:3">
      <c r="A139">
        <f t="shared" si="7"/>
        <v>117</v>
      </c>
      <c r="B139">
        <v>6.33343999999985E-3</v>
      </c>
      <c r="C139">
        <f t="shared" si="6"/>
        <v>0</v>
      </c>
    </row>
    <row r="140" spans="1:3">
      <c r="A140">
        <f t="shared" si="7"/>
        <v>118</v>
      </c>
      <c r="B140">
        <v>3.5686399999998778E-3</v>
      </c>
      <c r="C140">
        <f t="shared" si="6"/>
        <v>0</v>
      </c>
    </row>
    <row r="141" spans="1:3">
      <c r="A141">
        <f t="shared" si="7"/>
        <v>119</v>
      </c>
      <c r="B141">
        <v>2.0894719999999922E-2</v>
      </c>
      <c r="C141">
        <f t="shared" si="6"/>
        <v>0</v>
      </c>
    </row>
    <row r="142" spans="1:3">
      <c r="A142">
        <f t="shared" si="7"/>
        <v>120</v>
      </c>
      <c r="B142">
        <v>5.0432000000000168E-3</v>
      </c>
      <c r="C142">
        <f t="shared" si="6"/>
        <v>0</v>
      </c>
    </row>
    <row r="143" spans="1:3">
      <c r="A143">
        <f t="shared" si="7"/>
        <v>121</v>
      </c>
      <c r="B143">
        <v>6.1951999999998548E-3</v>
      </c>
      <c r="C143">
        <f t="shared" si="6"/>
        <v>0</v>
      </c>
    </row>
    <row r="144" spans="1:3">
      <c r="A144">
        <f t="shared" si="7"/>
        <v>122</v>
      </c>
      <c r="B144">
        <v>3.8451199999998851E-3</v>
      </c>
      <c r="C144">
        <f t="shared" si="6"/>
        <v>0</v>
      </c>
    </row>
    <row r="145" spans="1:3">
      <c r="A145">
        <f t="shared" si="7"/>
        <v>123</v>
      </c>
      <c r="B145">
        <v>1.9927039999999917E-2</v>
      </c>
      <c r="C145">
        <f t="shared" si="6"/>
        <v>0</v>
      </c>
    </row>
    <row r="146" spans="1:3">
      <c r="A146">
        <f t="shared" si="7"/>
        <v>124</v>
      </c>
      <c r="B146">
        <v>4.1215999999999363E-3</v>
      </c>
      <c r="C146">
        <f t="shared" si="6"/>
        <v>0</v>
      </c>
    </row>
    <row r="147" spans="1:3">
      <c r="A147">
        <f t="shared" si="7"/>
        <v>125</v>
      </c>
      <c r="B147">
        <v>1.6885759999999903E-2</v>
      </c>
      <c r="C147">
        <f t="shared" si="6"/>
        <v>0</v>
      </c>
    </row>
    <row r="148" spans="1:3">
      <c r="A148">
        <f t="shared" si="7"/>
        <v>126</v>
      </c>
      <c r="B148">
        <v>1.0388479999999841E-2</v>
      </c>
      <c r="C148">
        <f t="shared" si="6"/>
        <v>0</v>
      </c>
    </row>
    <row r="149" spans="1:3">
      <c r="A149">
        <f t="shared" si="7"/>
        <v>127</v>
      </c>
      <c r="B149">
        <v>3.8082559999999745E-2</v>
      </c>
      <c r="C149">
        <f t="shared" si="6"/>
        <v>0</v>
      </c>
    </row>
    <row r="150" spans="1:3">
      <c r="A150">
        <f t="shared" si="7"/>
        <v>128</v>
      </c>
      <c r="B150">
        <v>3.3797120000000458E-2</v>
      </c>
      <c r="C150">
        <f t="shared" si="6"/>
        <v>0</v>
      </c>
    </row>
    <row r="151" spans="1:3">
      <c r="A151">
        <f t="shared" si="7"/>
        <v>129</v>
      </c>
      <c r="B151">
        <v>6.3334400000000035E-3</v>
      </c>
      <c r="C151">
        <f t="shared" ref="C151:C214" si="8">IF(B151=$B$279,A151,0)</f>
        <v>0</v>
      </c>
    </row>
    <row r="152" spans="1:3">
      <c r="A152">
        <f t="shared" ref="A152:A190" si="9">A151+1</f>
        <v>130</v>
      </c>
      <c r="B152">
        <v>1.4351360000000153E-2</v>
      </c>
      <c r="C152">
        <f t="shared" si="8"/>
        <v>0</v>
      </c>
    </row>
    <row r="153" spans="1:3">
      <c r="A153">
        <f t="shared" si="9"/>
        <v>131</v>
      </c>
      <c r="B153">
        <v>1.8175999999999637E-3</v>
      </c>
      <c r="C153">
        <f t="shared" si="8"/>
        <v>0</v>
      </c>
    </row>
    <row r="154" spans="1:3">
      <c r="A154">
        <f t="shared" si="9"/>
        <v>132</v>
      </c>
      <c r="B154">
        <v>1.7116160000000168E-2</v>
      </c>
      <c r="C154">
        <f t="shared" si="8"/>
        <v>0</v>
      </c>
    </row>
    <row r="155" spans="1:3">
      <c r="A155">
        <f t="shared" si="9"/>
        <v>133</v>
      </c>
      <c r="B155">
        <v>1.2646400000000172E-3</v>
      </c>
      <c r="C155">
        <f t="shared" si="8"/>
        <v>0</v>
      </c>
    </row>
    <row r="156" spans="1:3">
      <c r="A156">
        <f t="shared" si="9"/>
        <v>134</v>
      </c>
      <c r="B156">
        <v>5.1353600000000384E-3</v>
      </c>
      <c r="C156">
        <f t="shared" si="8"/>
        <v>0</v>
      </c>
    </row>
    <row r="157" spans="1:3">
      <c r="A157">
        <f t="shared" si="9"/>
        <v>135</v>
      </c>
      <c r="B157">
        <v>4.2137599999998963E-3</v>
      </c>
      <c r="C157">
        <f t="shared" si="8"/>
        <v>0</v>
      </c>
    </row>
    <row r="158" spans="1:3">
      <c r="A158">
        <f t="shared" si="9"/>
        <v>136</v>
      </c>
      <c r="B158">
        <v>1.8222080000000189E-2</v>
      </c>
      <c r="C158">
        <f t="shared" si="8"/>
        <v>0</v>
      </c>
    </row>
    <row r="159" spans="1:3">
      <c r="A159">
        <f t="shared" si="9"/>
        <v>137</v>
      </c>
      <c r="B159">
        <v>1.126400000000022E-3</v>
      </c>
      <c r="C159">
        <f t="shared" si="8"/>
        <v>0</v>
      </c>
    </row>
    <row r="160" spans="1:3">
      <c r="A160">
        <f t="shared" si="9"/>
        <v>138</v>
      </c>
      <c r="B160">
        <v>5.4118400000000462E-3</v>
      </c>
      <c r="C160">
        <f t="shared" si="8"/>
        <v>0</v>
      </c>
    </row>
    <row r="161" spans="1:3">
      <c r="A161">
        <f t="shared" si="9"/>
        <v>139</v>
      </c>
      <c r="B161">
        <v>3.2460799999998874E-3</v>
      </c>
      <c r="C161">
        <f t="shared" si="8"/>
        <v>0</v>
      </c>
    </row>
    <row r="162" spans="1:3">
      <c r="A162">
        <f t="shared" si="9"/>
        <v>140</v>
      </c>
      <c r="B162">
        <v>7.3472000000000164E-3</v>
      </c>
      <c r="C162">
        <f t="shared" si="8"/>
        <v>0</v>
      </c>
    </row>
    <row r="163" spans="1:3">
      <c r="A163">
        <f t="shared" si="9"/>
        <v>141</v>
      </c>
      <c r="B163">
        <v>1.8636799999999193E-3</v>
      </c>
      <c r="C163">
        <f t="shared" si="8"/>
        <v>0</v>
      </c>
    </row>
    <row r="164" spans="1:3">
      <c r="A164">
        <f t="shared" si="9"/>
        <v>142</v>
      </c>
      <c r="B164">
        <v>2.0019199999999774E-3</v>
      </c>
      <c r="C164">
        <f t="shared" si="8"/>
        <v>0</v>
      </c>
    </row>
    <row r="165" spans="1:3">
      <c r="A165">
        <f t="shared" si="9"/>
        <v>143</v>
      </c>
      <c r="B165">
        <v>1.1448319999999866E-2</v>
      </c>
      <c r="C165">
        <f t="shared" si="8"/>
        <v>0</v>
      </c>
    </row>
    <row r="166" spans="1:3">
      <c r="A166">
        <f t="shared" si="9"/>
        <v>144</v>
      </c>
      <c r="B166">
        <v>1.9696640000000189E-2</v>
      </c>
      <c r="C166">
        <f t="shared" si="8"/>
        <v>0</v>
      </c>
    </row>
    <row r="167" spans="1:3">
      <c r="A167">
        <f t="shared" si="9"/>
        <v>145</v>
      </c>
      <c r="B167">
        <v>1.356800000000031E-3</v>
      </c>
      <c r="C167">
        <f t="shared" si="8"/>
        <v>0</v>
      </c>
    </row>
    <row r="168" spans="1:3">
      <c r="A168">
        <f t="shared" si="9"/>
        <v>146</v>
      </c>
      <c r="B168">
        <v>6.0569600000000626E-3</v>
      </c>
      <c r="C168">
        <f t="shared" si="8"/>
        <v>0</v>
      </c>
    </row>
    <row r="169" spans="1:3">
      <c r="A169">
        <f t="shared" si="9"/>
        <v>147</v>
      </c>
      <c r="B169">
        <v>2.6470399999998944E-3</v>
      </c>
      <c r="C169">
        <f t="shared" si="8"/>
        <v>0</v>
      </c>
    </row>
    <row r="170" spans="1:3">
      <c r="A170">
        <f t="shared" si="9"/>
        <v>148</v>
      </c>
      <c r="B170">
        <v>7.9923200000000319E-3</v>
      </c>
      <c r="C170">
        <f t="shared" si="8"/>
        <v>0</v>
      </c>
    </row>
    <row r="171" spans="1:3">
      <c r="A171">
        <f t="shared" si="9"/>
        <v>149</v>
      </c>
      <c r="B171">
        <v>1.2646399999999263E-3</v>
      </c>
      <c r="C171">
        <f t="shared" si="8"/>
        <v>0</v>
      </c>
    </row>
    <row r="172" spans="1:3">
      <c r="A172">
        <f t="shared" si="9"/>
        <v>150</v>
      </c>
      <c r="B172">
        <v>1.8175999999999854E-3</v>
      </c>
      <c r="C172">
        <f t="shared" si="8"/>
        <v>0</v>
      </c>
    </row>
    <row r="173" spans="1:3">
      <c r="A173">
        <f t="shared" si="9"/>
        <v>151</v>
      </c>
      <c r="B173">
        <v>1.0019839999999849E-2</v>
      </c>
      <c r="C173">
        <f t="shared" si="8"/>
        <v>0</v>
      </c>
    </row>
    <row r="174" spans="1:3">
      <c r="A174">
        <f t="shared" si="9"/>
        <v>152</v>
      </c>
      <c r="B174">
        <v>9.0982400000000525E-3</v>
      </c>
      <c r="C174">
        <f t="shared" si="8"/>
        <v>0</v>
      </c>
    </row>
    <row r="175" spans="1:3">
      <c r="A175">
        <f t="shared" si="9"/>
        <v>153</v>
      </c>
      <c r="B175">
        <v>1.1263999999999311E-3</v>
      </c>
      <c r="C175">
        <f t="shared" si="8"/>
        <v>0</v>
      </c>
    </row>
    <row r="176" spans="1:3">
      <c r="A176">
        <f t="shared" si="9"/>
        <v>154</v>
      </c>
      <c r="B176">
        <v>2.0940799999999925E-3</v>
      </c>
      <c r="C176">
        <f t="shared" si="8"/>
        <v>0</v>
      </c>
    </row>
    <row r="177" spans="1:3">
      <c r="A177">
        <f t="shared" si="9"/>
        <v>155</v>
      </c>
      <c r="B177">
        <v>9.0521599999998422E-3</v>
      </c>
      <c r="C177">
        <f t="shared" si="8"/>
        <v>0</v>
      </c>
    </row>
    <row r="178" spans="1:3">
      <c r="A178">
        <f t="shared" si="9"/>
        <v>156</v>
      </c>
      <c r="B178">
        <v>3.1999999999999915E-3</v>
      </c>
      <c r="C178">
        <f t="shared" si="8"/>
        <v>0</v>
      </c>
    </row>
    <row r="179" spans="1:3">
      <c r="A179">
        <f t="shared" si="9"/>
        <v>157</v>
      </c>
      <c r="B179">
        <v>6.8403199999998521E-3</v>
      </c>
      <c r="C179">
        <f t="shared" si="8"/>
        <v>0</v>
      </c>
    </row>
    <row r="180" spans="1:3">
      <c r="A180">
        <f t="shared" si="9"/>
        <v>158</v>
      </c>
      <c r="B180">
        <v>3.6607999999998765E-3</v>
      </c>
      <c r="C180">
        <f t="shared" si="8"/>
        <v>0</v>
      </c>
    </row>
    <row r="181" spans="1:3">
      <c r="A181">
        <f t="shared" si="9"/>
        <v>159</v>
      </c>
      <c r="B181">
        <v>2.2231039999999945E-2</v>
      </c>
      <c r="C181">
        <f t="shared" si="8"/>
        <v>0</v>
      </c>
    </row>
    <row r="182" spans="1:3">
      <c r="A182">
        <f t="shared" si="9"/>
        <v>160</v>
      </c>
      <c r="B182">
        <v>2.1539840000000216E-2</v>
      </c>
      <c r="C182">
        <f t="shared" si="8"/>
        <v>0</v>
      </c>
    </row>
    <row r="183" spans="1:3">
      <c r="A183">
        <f t="shared" si="9"/>
        <v>161</v>
      </c>
      <c r="B183">
        <v>1.9558400000000129E-3</v>
      </c>
      <c r="C183">
        <f t="shared" si="8"/>
        <v>0</v>
      </c>
    </row>
    <row r="184" spans="1:3">
      <c r="A184">
        <f t="shared" si="9"/>
        <v>162</v>
      </c>
      <c r="B184">
        <v>7.0707200000000615E-3</v>
      </c>
      <c r="C184">
        <f t="shared" si="8"/>
        <v>0</v>
      </c>
    </row>
    <row r="185" spans="1:3">
      <c r="A185">
        <f t="shared" si="9"/>
        <v>163</v>
      </c>
      <c r="B185">
        <v>2.416639999999917E-3</v>
      </c>
      <c r="C185">
        <f t="shared" si="8"/>
        <v>0</v>
      </c>
    </row>
    <row r="186" spans="1:3">
      <c r="A186">
        <f t="shared" si="9"/>
        <v>164</v>
      </c>
      <c r="B186">
        <v>9.0060800000000309E-3</v>
      </c>
      <c r="C186">
        <f t="shared" si="8"/>
        <v>0</v>
      </c>
    </row>
    <row r="187" spans="1:3">
      <c r="A187">
        <f t="shared" si="9"/>
        <v>165</v>
      </c>
      <c r="B187">
        <v>1.0342399999999485E-3</v>
      </c>
      <c r="C187">
        <f t="shared" si="8"/>
        <v>0</v>
      </c>
    </row>
    <row r="188" spans="1:3">
      <c r="A188">
        <f t="shared" si="9"/>
        <v>166</v>
      </c>
      <c r="B188">
        <v>2.0019199999999873E-3</v>
      </c>
      <c r="C188">
        <f t="shared" si="8"/>
        <v>0</v>
      </c>
    </row>
    <row r="189" spans="1:3">
      <c r="A189">
        <f t="shared" si="9"/>
        <v>167</v>
      </c>
      <c r="B189">
        <v>8.95999999999985E-3</v>
      </c>
      <c r="C189">
        <f t="shared" si="8"/>
        <v>0</v>
      </c>
    </row>
    <row r="190" spans="1:3">
      <c r="A190">
        <f t="shared" si="9"/>
        <v>168</v>
      </c>
      <c r="B190">
        <v>1.0112000000000052E-2</v>
      </c>
      <c r="C190">
        <f t="shared" si="8"/>
        <v>0</v>
      </c>
    </row>
    <row r="191" spans="1:3">
      <c r="A191">
        <f>A190+1</f>
        <v>169</v>
      </c>
      <c r="B191">
        <v>8.9599999999995326E-4</v>
      </c>
      <c r="C191">
        <f t="shared" si="8"/>
        <v>0</v>
      </c>
    </row>
    <row r="192" spans="1:3">
      <c r="A192">
        <f t="shared" ref="A192:A255" si="10">A191+1</f>
        <v>170</v>
      </c>
      <c r="B192">
        <v>2.2783999999999942E-3</v>
      </c>
      <c r="C192">
        <f t="shared" si="8"/>
        <v>0</v>
      </c>
    </row>
    <row r="193" spans="1:3">
      <c r="A193">
        <f t="shared" si="10"/>
        <v>171</v>
      </c>
      <c r="B193">
        <v>7.9923199999998428E-3</v>
      </c>
      <c r="C193">
        <f t="shared" si="8"/>
        <v>0</v>
      </c>
    </row>
    <row r="194" spans="1:3">
      <c r="A194">
        <f t="shared" si="10"/>
        <v>172</v>
      </c>
      <c r="B194">
        <v>3.3843199999999941E-3</v>
      </c>
      <c r="C194">
        <f t="shared" si="8"/>
        <v>0</v>
      </c>
    </row>
    <row r="195" spans="1:3">
      <c r="A195">
        <f t="shared" si="10"/>
        <v>173</v>
      </c>
      <c r="B195">
        <v>5.7804799999998527E-3</v>
      </c>
      <c r="C195">
        <f t="shared" si="8"/>
        <v>0</v>
      </c>
    </row>
    <row r="196" spans="1:3">
      <c r="A196">
        <f t="shared" si="10"/>
        <v>174</v>
      </c>
      <c r="B196">
        <v>3.0156799999998874E-3</v>
      </c>
      <c r="C196">
        <f t="shared" si="8"/>
        <v>0</v>
      </c>
    </row>
    <row r="197" spans="1:3">
      <c r="A197">
        <f t="shared" si="10"/>
        <v>175</v>
      </c>
      <c r="B197">
        <v>2.0341759999999928E-2</v>
      </c>
      <c r="C197">
        <f t="shared" si="8"/>
        <v>0</v>
      </c>
    </row>
    <row r="198" spans="1:3">
      <c r="A198">
        <f t="shared" si="10"/>
        <v>176</v>
      </c>
      <c r="B198">
        <v>1.1586560000000051E-2</v>
      </c>
      <c r="C198">
        <f t="shared" si="8"/>
        <v>0</v>
      </c>
    </row>
    <row r="199" spans="1:3">
      <c r="A199">
        <f t="shared" si="10"/>
        <v>177</v>
      </c>
      <c r="B199">
        <v>1.1263999999999623E-3</v>
      </c>
      <c r="C199">
        <f t="shared" si="8"/>
        <v>0</v>
      </c>
    </row>
    <row r="200" spans="1:3">
      <c r="A200">
        <f t="shared" si="10"/>
        <v>178</v>
      </c>
      <c r="B200">
        <v>2.9235200000000115E-3</v>
      </c>
      <c r="C200">
        <f t="shared" si="8"/>
        <v>0</v>
      </c>
    </row>
    <row r="201" spans="1:3">
      <c r="A201">
        <f t="shared" si="10"/>
        <v>179</v>
      </c>
      <c r="B201">
        <v>7.3932799999998494E-3</v>
      </c>
      <c r="C201">
        <f t="shared" si="8"/>
        <v>0</v>
      </c>
    </row>
    <row r="202" spans="1:3">
      <c r="A202">
        <f t="shared" si="10"/>
        <v>180</v>
      </c>
      <c r="B202">
        <v>4.0294400000000109E-3</v>
      </c>
      <c r="C202">
        <f t="shared" si="8"/>
        <v>0</v>
      </c>
    </row>
    <row r="203" spans="1:3">
      <c r="A203">
        <f t="shared" si="10"/>
        <v>181</v>
      </c>
      <c r="B203">
        <v>5.1814399999998593E-3</v>
      </c>
      <c r="C203">
        <f t="shared" si="8"/>
        <v>0</v>
      </c>
    </row>
    <row r="204" spans="1:3">
      <c r="A204">
        <f t="shared" si="10"/>
        <v>182</v>
      </c>
      <c r="B204">
        <v>2.8313599999998953E-3</v>
      </c>
      <c r="C204">
        <f t="shared" si="8"/>
        <v>0</v>
      </c>
    </row>
    <row r="205" spans="1:3">
      <c r="A205">
        <f t="shared" si="10"/>
        <v>183</v>
      </c>
      <c r="B205">
        <v>1.8913279999999911E-2</v>
      </c>
      <c r="C205">
        <f t="shared" si="8"/>
        <v>0</v>
      </c>
    </row>
    <row r="206" spans="1:3">
      <c r="A206">
        <f t="shared" si="10"/>
        <v>184</v>
      </c>
      <c r="B206">
        <v>5.1353600000000306E-3</v>
      </c>
      <c r="C206">
        <f t="shared" si="8"/>
        <v>0</v>
      </c>
    </row>
    <row r="207" spans="1:3">
      <c r="A207">
        <f t="shared" si="10"/>
        <v>185</v>
      </c>
      <c r="B207">
        <v>5.0431999999998641E-3</v>
      </c>
      <c r="C207">
        <f t="shared" si="8"/>
        <v>0</v>
      </c>
    </row>
    <row r="208" spans="1:3">
      <c r="A208">
        <f t="shared" si="10"/>
        <v>186</v>
      </c>
      <c r="B208">
        <v>3.1078399999999026E-3</v>
      </c>
      <c r="C208">
        <f t="shared" si="8"/>
        <v>0</v>
      </c>
    </row>
    <row r="209" spans="1:3">
      <c r="A209">
        <f t="shared" si="10"/>
        <v>187</v>
      </c>
      <c r="B209">
        <v>1.7945599999999902E-2</v>
      </c>
      <c r="C209">
        <f t="shared" si="8"/>
        <v>0</v>
      </c>
    </row>
    <row r="210" spans="1:3">
      <c r="A210">
        <f t="shared" si="10"/>
        <v>188</v>
      </c>
      <c r="B210">
        <v>3.3843199999999537E-3</v>
      </c>
      <c r="C210">
        <f t="shared" si="8"/>
        <v>0</v>
      </c>
    </row>
    <row r="211" spans="1:3">
      <c r="A211">
        <f t="shared" si="10"/>
        <v>189</v>
      </c>
      <c r="B211">
        <v>1.4904319999999889E-2</v>
      </c>
      <c r="C211">
        <f t="shared" si="8"/>
        <v>0</v>
      </c>
    </row>
    <row r="212" spans="1:3">
      <c r="A212">
        <f t="shared" si="10"/>
        <v>190</v>
      </c>
      <c r="B212">
        <v>8.8217599999998401E-3</v>
      </c>
      <c r="C212">
        <f t="shared" si="8"/>
        <v>0</v>
      </c>
    </row>
    <row r="213" spans="1:3">
      <c r="A213">
        <f t="shared" si="10"/>
        <v>191</v>
      </c>
      <c r="B213">
        <v>3.5271679999999708E-2</v>
      </c>
      <c r="C213">
        <f t="shared" si="8"/>
        <v>0</v>
      </c>
    </row>
    <row r="214" spans="1:3">
      <c r="A214">
        <f t="shared" si="10"/>
        <v>192</v>
      </c>
      <c r="B214">
        <v>2.3751680000000257E-2</v>
      </c>
      <c r="C214">
        <f t="shared" si="8"/>
        <v>0</v>
      </c>
    </row>
    <row r="215" spans="1:3">
      <c r="A215">
        <f t="shared" si="10"/>
        <v>193</v>
      </c>
      <c r="B215">
        <v>2.9235200000000214E-3</v>
      </c>
      <c r="C215">
        <f t="shared" ref="C215:C277" si="11">IF(B215=$B$279,A215,0)</f>
        <v>0</v>
      </c>
    </row>
    <row r="216" spans="1:3">
      <c r="A216">
        <f t="shared" si="10"/>
        <v>194</v>
      </c>
      <c r="B216">
        <v>8.4531200000000813E-3</v>
      </c>
      <c r="C216">
        <f t="shared" si="11"/>
        <v>0</v>
      </c>
    </row>
    <row r="217" spans="1:3">
      <c r="A217">
        <f t="shared" si="10"/>
        <v>195</v>
      </c>
      <c r="B217">
        <v>2.5548799999999205E-3</v>
      </c>
      <c r="C217">
        <f t="shared" si="11"/>
        <v>0</v>
      </c>
    </row>
    <row r="218" spans="1:3">
      <c r="A218">
        <f t="shared" si="10"/>
        <v>196</v>
      </c>
      <c r="B218">
        <v>1.0388480000000051E-2</v>
      </c>
      <c r="C218">
        <f t="shared" si="11"/>
        <v>0</v>
      </c>
    </row>
    <row r="219" spans="1:3">
      <c r="A219">
        <f t="shared" si="10"/>
        <v>197</v>
      </c>
      <c r="B219">
        <v>1.1724799999999523E-3</v>
      </c>
      <c r="C219">
        <f t="shared" si="11"/>
        <v>0</v>
      </c>
    </row>
    <row r="220" spans="1:3">
      <c r="A220">
        <f t="shared" si="10"/>
        <v>198</v>
      </c>
      <c r="B220">
        <v>2.5548799999999933E-3</v>
      </c>
      <c r="C220">
        <f t="shared" si="11"/>
        <v>0</v>
      </c>
    </row>
    <row r="221" spans="1:3">
      <c r="A221">
        <f t="shared" si="10"/>
        <v>199</v>
      </c>
      <c r="B221">
        <v>8.2687999999998679E-3</v>
      </c>
      <c r="C221">
        <f t="shared" si="11"/>
        <v>0</v>
      </c>
    </row>
    <row r="222" spans="1:3">
      <c r="A222">
        <f t="shared" si="10"/>
        <v>200</v>
      </c>
      <c r="B222">
        <v>1.1494400000000071E-2</v>
      </c>
      <c r="C222">
        <f t="shared" si="11"/>
        <v>0</v>
      </c>
    </row>
    <row r="223" spans="1:3">
      <c r="A223">
        <f t="shared" si="10"/>
        <v>201</v>
      </c>
      <c r="B223">
        <v>1.0342399999999569E-3</v>
      </c>
      <c r="C223">
        <f t="shared" si="11"/>
        <v>0</v>
      </c>
    </row>
    <row r="224" spans="1:3">
      <c r="A224">
        <f t="shared" si="10"/>
        <v>202</v>
      </c>
      <c r="B224">
        <v>2.8313600000000002E-3</v>
      </c>
      <c r="C224">
        <f t="shared" si="11"/>
        <v>0</v>
      </c>
    </row>
    <row r="225" spans="1:3">
      <c r="A225">
        <f t="shared" si="10"/>
        <v>203</v>
      </c>
      <c r="B225">
        <v>7.301119999999859E-3</v>
      </c>
      <c r="C225">
        <f t="shared" si="11"/>
        <v>0</v>
      </c>
    </row>
    <row r="226" spans="1:3">
      <c r="A226">
        <f t="shared" si="10"/>
        <v>204</v>
      </c>
      <c r="B226">
        <v>3.9372799999999996E-3</v>
      </c>
      <c r="C226">
        <f t="shared" si="11"/>
        <v>0</v>
      </c>
    </row>
    <row r="227" spans="1:3">
      <c r="A227">
        <f t="shared" si="10"/>
        <v>205</v>
      </c>
      <c r="B227">
        <v>5.089279999999868E-3</v>
      </c>
      <c r="C227">
        <f t="shared" si="11"/>
        <v>0</v>
      </c>
    </row>
    <row r="228" spans="1:3">
      <c r="A228">
        <f t="shared" si="10"/>
        <v>206</v>
      </c>
      <c r="B228">
        <v>2.7391999999998974E-3</v>
      </c>
      <c r="C228">
        <f t="shared" si="11"/>
        <v>0</v>
      </c>
    </row>
    <row r="229" spans="1:3">
      <c r="A229">
        <f t="shared" si="10"/>
        <v>207</v>
      </c>
      <c r="B229">
        <v>1.882111999999992E-2</v>
      </c>
      <c r="C229">
        <f t="shared" si="11"/>
        <v>0</v>
      </c>
    </row>
    <row r="230" spans="1:3">
      <c r="A230">
        <f t="shared" si="10"/>
        <v>208</v>
      </c>
      <c r="B230">
        <v>1.2968960000000071E-2</v>
      </c>
      <c r="C230">
        <f t="shared" si="11"/>
        <v>0</v>
      </c>
    </row>
    <row r="231" spans="1:3">
      <c r="A231">
        <f t="shared" si="10"/>
        <v>209</v>
      </c>
      <c r="B231">
        <v>1.264639999999966E-3</v>
      </c>
      <c r="C231">
        <f t="shared" si="11"/>
        <v>0</v>
      </c>
    </row>
    <row r="232" spans="1:3">
      <c r="A232">
        <f t="shared" si="10"/>
        <v>210</v>
      </c>
      <c r="B232">
        <v>3.4764800000000175E-3</v>
      </c>
      <c r="C232">
        <f t="shared" si="11"/>
        <v>0</v>
      </c>
    </row>
    <row r="233" spans="1:3">
      <c r="A233">
        <f t="shared" si="10"/>
        <v>211</v>
      </c>
      <c r="B233">
        <v>6.7020799999998656E-3</v>
      </c>
      <c r="C233">
        <f t="shared" si="11"/>
        <v>0</v>
      </c>
    </row>
    <row r="234" spans="1:3">
      <c r="A234">
        <f t="shared" si="10"/>
        <v>212</v>
      </c>
      <c r="B234">
        <v>4.5824000000000177E-3</v>
      </c>
      <c r="C234">
        <f t="shared" si="11"/>
        <v>0</v>
      </c>
    </row>
    <row r="235" spans="1:3">
      <c r="A235">
        <f t="shared" si="10"/>
        <v>213</v>
      </c>
      <c r="B235">
        <v>4.4902399999998755E-3</v>
      </c>
      <c r="C235">
        <f t="shared" si="11"/>
        <v>0</v>
      </c>
    </row>
    <row r="236" spans="1:3">
      <c r="A236">
        <f t="shared" si="10"/>
        <v>214</v>
      </c>
      <c r="B236">
        <v>2.5548799999999053E-3</v>
      </c>
      <c r="C236">
        <f t="shared" si="11"/>
        <v>0</v>
      </c>
    </row>
    <row r="237" spans="1:3">
      <c r="A237">
        <f t="shared" si="10"/>
        <v>215</v>
      </c>
      <c r="B237">
        <v>1.7392639999999904E-2</v>
      </c>
      <c r="C237">
        <f t="shared" si="11"/>
        <v>0</v>
      </c>
    </row>
    <row r="238" spans="1:3">
      <c r="A238">
        <f t="shared" si="10"/>
        <v>216</v>
      </c>
      <c r="B238">
        <v>5.6883200000000366E-3</v>
      </c>
      <c r="C238">
        <f t="shared" si="11"/>
        <v>0</v>
      </c>
    </row>
    <row r="239" spans="1:3">
      <c r="A239">
        <f t="shared" si="10"/>
        <v>217</v>
      </c>
      <c r="B239">
        <v>4.3519999999998803E-3</v>
      </c>
      <c r="C239">
        <f t="shared" si="11"/>
        <v>0</v>
      </c>
    </row>
    <row r="240" spans="1:3">
      <c r="A240">
        <f t="shared" si="10"/>
        <v>218</v>
      </c>
      <c r="B240">
        <v>2.8313599999999126E-3</v>
      </c>
      <c r="C240">
        <f t="shared" si="11"/>
        <v>0</v>
      </c>
    </row>
    <row r="241" spans="1:3">
      <c r="A241">
        <f t="shared" si="10"/>
        <v>219</v>
      </c>
      <c r="B241">
        <v>1.6424959999999895E-2</v>
      </c>
      <c r="C241">
        <f t="shared" si="11"/>
        <v>0</v>
      </c>
    </row>
    <row r="242" spans="1:3">
      <c r="A242">
        <f t="shared" si="10"/>
        <v>220</v>
      </c>
      <c r="B242">
        <v>3.1078399999999633E-3</v>
      </c>
      <c r="C242">
        <f t="shared" si="11"/>
        <v>0</v>
      </c>
    </row>
    <row r="243" spans="1:3">
      <c r="A243">
        <f t="shared" si="10"/>
        <v>221</v>
      </c>
      <c r="B243">
        <v>1.3383679999999884E-2</v>
      </c>
      <c r="C243">
        <f t="shared" si="11"/>
        <v>0</v>
      </c>
    </row>
    <row r="244" spans="1:3">
      <c r="A244">
        <f t="shared" si="10"/>
        <v>222</v>
      </c>
      <c r="B244">
        <v>7.7158399999998437E-3</v>
      </c>
      <c r="C244">
        <f t="shared" si="11"/>
        <v>0</v>
      </c>
    </row>
    <row r="245" spans="1:3">
      <c r="A245">
        <f t="shared" si="10"/>
        <v>223</v>
      </c>
      <c r="B245">
        <v>3.2921599999999683E-2</v>
      </c>
      <c r="C245">
        <f t="shared" si="11"/>
        <v>0</v>
      </c>
    </row>
    <row r="246" spans="1:3">
      <c r="A246">
        <f t="shared" si="10"/>
        <v>224</v>
      </c>
      <c r="B246">
        <v>1.4812160000000098E-2</v>
      </c>
      <c r="C246">
        <f t="shared" si="11"/>
        <v>0</v>
      </c>
    </row>
    <row r="247" spans="1:3">
      <c r="A247">
        <f t="shared" si="10"/>
        <v>225</v>
      </c>
      <c r="B247">
        <v>1.8636799999999477E-3</v>
      </c>
      <c r="C247">
        <f t="shared" si="11"/>
        <v>0</v>
      </c>
    </row>
    <row r="248" spans="1:3">
      <c r="A248">
        <f t="shared" si="10"/>
        <v>226</v>
      </c>
      <c r="B248">
        <v>4.4902400000000151E-3</v>
      </c>
      <c r="C248">
        <f t="shared" si="11"/>
        <v>0</v>
      </c>
    </row>
    <row r="249" spans="1:3">
      <c r="A249">
        <f t="shared" si="10"/>
        <v>227</v>
      </c>
      <c r="B249">
        <v>6.4716799999998877E-3</v>
      </c>
      <c r="C249">
        <f t="shared" si="11"/>
        <v>0</v>
      </c>
    </row>
    <row r="250" spans="1:3">
      <c r="A250">
        <f t="shared" si="10"/>
        <v>228</v>
      </c>
      <c r="B250">
        <v>5.5961600000000149E-3</v>
      </c>
      <c r="C250">
        <f t="shared" si="11"/>
        <v>0</v>
      </c>
    </row>
    <row r="251" spans="1:3">
      <c r="A251">
        <f t="shared" si="10"/>
        <v>229</v>
      </c>
      <c r="B251">
        <v>4.2598399999998976E-3</v>
      </c>
      <c r="C251">
        <f t="shared" si="11"/>
        <v>0</v>
      </c>
    </row>
    <row r="252" spans="1:3">
      <c r="A252">
        <f t="shared" si="10"/>
        <v>230</v>
      </c>
      <c r="B252">
        <v>2.7391999999999074E-3</v>
      </c>
      <c r="C252">
        <f t="shared" si="11"/>
        <v>0</v>
      </c>
    </row>
    <row r="253" spans="1:3">
      <c r="A253">
        <f t="shared" si="10"/>
        <v>231</v>
      </c>
      <c r="B253">
        <v>1.6332799999999904E-2</v>
      </c>
      <c r="C253">
        <f t="shared" si="11"/>
        <v>0</v>
      </c>
    </row>
    <row r="254" spans="1:3">
      <c r="A254">
        <f t="shared" si="10"/>
        <v>232</v>
      </c>
      <c r="B254">
        <v>6.7020800000000356E-3</v>
      </c>
      <c r="C254">
        <f t="shared" si="11"/>
        <v>0</v>
      </c>
    </row>
    <row r="255" spans="1:3">
      <c r="A255">
        <f t="shared" si="10"/>
        <v>233</v>
      </c>
      <c r="B255">
        <v>4.1215999999999024E-3</v>
      </c>
      <c r="C255">
        <f t="shared" si="11"/>
        <v>0</v>
      </c>
    </row>
    <row r="256" spans="1:3">
      <c r="A256">
        <f t="shared" ref="A256:A292" si="12">A255+1</f>
        <v>234</v>
      </c>
      <c r="B256">
        <v>3.0156799999999147E-3</v>
      </c>
      <c r="C256">
        <f t="shared" si="11"/>
        <v>0</v>
      </c>
    </row>
    <row r="257" spans="1:3">
      <c r="A257">
        <f t="shared" si="12"/>
        <v>235</v>
      </c>
      <c r="B257">
        <v>1.5365119999999895E-2</v>
      </c>
      <c r="C257">
        <f t="shared" si="11"/>
        <v>0</v>
      </c>
    </row>
    <row r="258" spans="1:3">
      <c r="A258">
        <f t="shared" si="12"/>
        <v>236</v>
      </c>
      <c r="B258">
        <v>3.2921599999999654E-3</v>
      </c>
      <c r="C258">
        <f t="shared" si="11"/>
        <v>0</v>
      </c>
    </row>
    <row r="259" spans="1:3">
      <c r="A259">
        <f t="shared" si="12"/>
        <v>237</v>
      </c>
      <c r="B259">
        <v>1.2323839999999885E-2</v>
      </c>
      <c r="C259">
        <f t="shared" si="11"/>
        <v>0</v>
      </c>
    </row>
    <row r="260" spans="1:3">
      <c r="A260">
        <f t="shared" si="12"/>
        <v>238</v>
      </c>
      <c r="B260">
        <v>7.0707199999998551E-3</v>
      </c>
      <c r="C260">
        <f t="shared" si="11"/>
        <v>0</v>
      </c>
    </row>
    <row r="261" spans="1:3">
      <c r="A261">
        <f t="shared" si="12"/>
        <v>239</v>
      </c>
      <c r="B261">
        <v>3.1032319999999655E-2</v>
      </c>
      <c r="C261">
        <f t="shared" si="11"/>
        <v>0</v>
      </c>
    </row>
    <row r="262" spans="1:3">
      <c r="A262">
        <f t="shared" si="12"/>
        <v>240</v>
      </c>
      <c r="B262">
        <v>8.1766400000000353E-3</v>
      </c>
      <c r="C262">
        <f t="shared" si="11"/>
        <v>0</v>
      </c>
    </row>
    <row r="263" spans="1:3">
      <c r="A263">
        <f t="shared" si="12"/>
        <v>241</v>
      </c>
      <c r="B263">
        <v>4.3519999999999115E-3</v>
      </c>
      <c r="C263">
        <f t="shared" si="11"/>
        <v>0</v>
      </c>
    </row>
    <row r="264" spans="1:3">
      <c r="A264">
        <f t="shared" si="12"/>
        <v>242</v>
      </c>
      <c r="B264">
        <v>3.6607999999999316E-3</v>
      </c>
      <c r="C264">
        <f t="shared" si="11"/>
        <v>0</v>
      </c>
    </row>
    <row r="265" spans="1:3">
      <c r="A265">
        <f t="shared" si="12"/>
        <v>243</v>
      </c>
      <c r="B265">
        <v>1.4766079999999904E-2</v>
      </c>
      <c r="C265">
        <f t="shared" si="11"/>
        <v>0</v>
      </c>
    </row>
    <row r="266" spans="1:3">
      <c r="A266">
        <f t="shared" si="12"/>
        <v>244</v>
      </c>
      <c r="B266">
        <v>3.9372799999999831E-3</v>
      </c>
      <c r="C266">
        <f t="shared" si="11"/>
        <v>0</v>
      </c>
    </row>
    <row r="267" spans="1:3">
      <c r="A267">
        <f t="shared" si="12"/>
        <v>245</v>
      </c>
      <c r="B267">
        <v>1.1724799999999889E-2</v>
      </c>
      <c r="C267">
        <f t="shared" si="11"/>
        <v>0</v>
      </c>
    </row>
    <row r="268" spans="1:3">
      <c r="A268">
        <f t="shared" si="12"/>
        <v>246</v>
      </c>
      <c r="B268">
        <v>6.8863999999998638E-3</v>
      </c>
      <c r="C268">
        <f t="shared" si="11"/>
        <v>0</v>
      </c>
    </row>
    <row r="269" spans="1:3">
      <c r="A269">
        <f t="shared" si="12"/>
        <v>247</v>
      </c>
      <c r="B269">
        <v>2.9603839999999638E-2</v>
      </c>
      <c r="C269">
        <f t="shared" si="11"/>
        <v>0</v>
      </c>
    </row>
    <row r="270" spans="1:3">
      <c r="A270">
        <f t="shared" si="12"/>
        <v>248</v>
      </c>
      <c r="B270">
        <v>5.0432000000000029E-3</v>
      </c>
      <c r="C270">
        <f t="shared" si="11"/>
        <v>0</v>
      </c>
    </row>
    <row r="271" spans="1:3">
      <c r="A271">
        <f t="shared" si="12"/>
        <v>249</v>
      </c>
      <c r="B271">
        <v>1.1586559999999895E-2</v>
      </c>
      <c r="C271">
        <f t="shared" si="11"/>
        <v>0</v>
      </c>
    </row>
    <row r="272" spans="1:3">
      <c r="A272">
        <f t="shared" si="12"/>
        <v>250</v>
      </c>
      <c r="B272">
        <v>7.1628799999998698E-3</v>
      </c>
      <c r="C272">
        <f t="shared" si="11"/>
        <v>0</v>
      </c>
    </row>
    <row r="273" spans="1:3">
      <c r="A273">
        <f t="shared" si="12"/>
        <v>251</v>
      </c>
      <c r="B273">
        <v>2.8636159999999633E-2</v>
      </c>
      <c r="C273">
        <f t="shared" si="11"/>
        <v>0</v>
      </c>
    </row>
    <row r="274" spans="1:3">
      <c r="A274">
        <f t="shared" si="12"/>
        <v>252</v>
      </c>
      <c r="B274">
        <v>6.6099199999998994E-3</v>
      </c>
      <c r="C274">
        <f t="shared" si="11"/>
        <v>0</v>
      </c>
    </row>
    <row r="275" spans="1:3">
      <c r="A275">
        <f t="shared" si="12"/>
        <v>253</v>
      </c>
      <c r="B275">
        <v>2.4765439999999597E-2</v>
      </c>
      <c r="C275">
        <f t="shared" si="11"/>
        <v>0</v>
      </c>
    </row>
    <row r="276" spans="1:3">
      <c r="A276">
        <f t="shared" si="12"/>
        <v>254</v>
      </c>
      <c r="B276">
        <v>1.6194559999999893E-2</v>
      </c>
      <c r="C276">
        <f t="shared" si="11"/>
        <v>0</v>
      </c>
    </row>
    <row r="277" spans="1:3">
      <c r="A277">
        <f t="shared" si="12"/>
        <v>255</v>
      </c>
      <c r="B277">
        <v>4.9279999999999838E-2</v>
      </c>
      <c r="C277">
        <f t="shared" si="11"/>
        <v>0</v>
      </c>
    </row>
    <row r="279" spans="1:3">
      <c r="B279">
        <f>MIN(B22:B277)</f>
        <v>4.8128000000001621E-4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Diez</dc:creator>
  <cp:lastModifiedBy>Patrick Diez</cp:lastModifiedBy>
  <dcterms:created xsi:type="dcterms:W3CDTF">2010-11-27T22:51:03Z</dcterms:created>
  <dcterms:modified xsi:type="dcterms:W3CDTF">2010-11-28T00:04:16Z</dcterms:modified>
</cp:coreProperties>
</file>